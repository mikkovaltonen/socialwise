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valmet.sharepoint.com/sites/Guidedbuying/Shared Documents/General/10 - Development/ZealPOC/ZEALPOC190925/"/>
    </mc:Choice>
  </mc:AlternateContent>
  <xr:revisionPtr revIDLastSave="70" documentId="11_973ABE826B5C3951CE397CD1B42EC9912123E8F6" xr6:coauthVersionLast="47" xr6:coauthVersionMax="47" xr10:uidLastSave="{35DB2100-F8BA-4BC1-B7C7-87D925F0476F}"/>
  <bookViews>
    <workbookView xWindow="-120" yWindow="-16320" windowWidth="29040" windowHeight="15720" xr2:uid="{00000000-000D-0000-FFFF-FFFF00000000}"/>
  </bookViews>
  <sheets>
    <sheet name="Spend Export" sheetId="1" r:id="rId1"/>
    <sheet name="Supplierdata with FI spend" sheetId="3" r:id="rId2"/>
    <sheet name="FI_dataPOCcleaned" sheetId="2" r:id="rId3"/>
  </sheets>
  <definedNames>
    <definedName name="_xlnm._FilterDatabase" localSheetId="2" hidden="1">FI_dataPOCcleaned!$A$3:$N$98</definedName>
    <definedName name="_xlnm._FilterDatabase" localSheetId="0" hidden="1">'Spend Export'!$A$1:$N$474</definedName>
    <definedName name="_xlnm._FilterDatabase" localSheetId="1" hidden="1">'Supplierdata with FI spend'!$A$1:$AK$1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21" i="3" l="1"/>
  <c r="N520" i="3"/>
  <c r="N519" i="3"/>
  <c r="N518" i="3"/>
  <c r="N517" i="3"/>
  <c r="N516" i="3"/>
  <c r="N515" i="3"/>
  <c r="N514" i="3"/>
  <c r="N513" i="3"/>
  <c r="N512" i="3"/>
  <c r="N511" i="3"/>
  <c r="N510" i="3"/>
  <c r="N509" i="3"/>
  <c r="N508" i="3"/>
  <c r="N507" i="3"/>
  <c r="N506" i="3"/>
  <c r="N505" i="3"/>
  <c r="N504" i="3"/>
  <c r="N503" i="3"/>
  <c r="N502" i="3"/>
  <c r="N501" i="3"/>
  <c r="N500" i="3"/>
  <c r="N499" i="3"/>
  <c r="N498" i="3"/>
  <c r="N497" i="3"/>
  <c r="N496" i="3"/>
  <c r="N495" i="3"/>
  <c r="N494" i="3"/>
  <c r="N493" i="3"/>
  <c r="N492" i="3"/>
  <c r="N491" i="3"/>
  <c r="N490" i="3"/>
  <c r="N489" i="3"/>
  <c r="N488" i="3"/>
  <c r="N487" i="3"/>
  <c r="N486" i="3"/>
  <c r="N485" i="3"/>
  <c r="N484" i="3"/>
  <c r="N483" i="3"/>
  <c r="N482" i="3"/>
  <c r="N481" i="3"/>
  <c r="N480" i="3"/>
  <c r="N479" i="3"/>
  <c r="N478" i="3"/>
  <c r="N477" i="3"/>
  <c r="N476" i="3"/>
  <c r="N475" i="3"/>
  <c r="N474" i="3"/>
  <c r="N473" i="3"/>
  <c r="N472" i="3"/>
  <c r="N471" i="3"/>
  <c r="N470" i="3"/>
  <c r="N469" i="3"/>
  <c r="N468" i="3"/>
  <c r="N467" i="3"/>
  <c r="N466" i="3"/>
  <c r="N465" i="3"/>
  <c r="N464" i="3"/>
  <c r="N463" i="3"/>
  <c r="N462" i="3"/>
  <c r="N461" i="3"/>
  <c r="N460" i="3"/>
  <c r="N459" i="3"/>
  <c r="N458" i="3"/>
  <c r="N457" i="3"/>
  <c r="N456" i="3"/>
  <c r="N455" i="3"/>
  <c r="N454" i="3"/>
  <c r="N453" i="3"/>
  <c r="N452" i="3"/>
  <c r="N451" i="3"/>
  <c r="N450" i="3"/>
  <c r="N449" i="3"/>
  <c r="N448" i="3"/>
  <c r="N447" i="3"/>
  <c r="N446" i="3"/>
  <c r="N445" i="3"/>
  <c r="N444" i="3"/>
  <c r="N443" i="3"/>
  <c r="N442" i="3"/>
  <c r="N441" i="3"/>
  <c r="N440" i="3"/>
  <c r="N439" i="3"/>
  <c r="N438" i="3"/>
  <c r="N437" i="3"/>
  <c r="N436" i="3"/>
  <c r="N435" i="3"/>
  <c r="N434" i="3"/>
  <c r="N433" i="3"/>
  <c r="N432" i="3"/>
  <c r="N431" i="3"/>
  <c r="N430" i="3"/>
  <c r="N429" i="3"/>
  <c r="N428" i="3"/>
  <c r="N427" i="3"/>
  <c r="N426" i="3"/>
  <c r="N425" i="3"/>
  <c r="N424" i="3"/>
  <c r="N423" i="3"/>
  <c r="N422" i="3"/>
  <c r="N421" i="3"/>
  <c r="N420" i="3"/>
  <c r="N419" i="3"/>
  <c r="N418" i="3"/>
  <c r="N417" i="3"/>
  <c r="N416" i="3"/>
  <c r="N415" i="3"/>
  <c r="N414" i="3"/>
  <c r="N413" i="3"/>
  <c r="N412" i="3"/>
  <c r="N411" i="3"/>
  <c r="N410" i="3"/>
  <c r="N409" i="3"/>
  <c r="N408" i="3"/>
  <c r="N407" i="3"/>
  <c r="N406" i="3"/>
  <c r="N405" i="3"/>
  <c r="N404" i="3"/>
  <c r="N403" i="3"/>
  <c r="N402" i="3"/>
  <c r="N401" i="3"/>
  <c r="N400" i="3"/>
  <c r="N399" i="3"/>
  <c r="N398" i="3"/>
  <c r="N397" i="3"/>
  <c r="N396" i="3"/>
  <c r="N395" i="3"/>
  <c r="N394" i="3"/>
  <c r="N393" i="3"/>
  <c r="N392" i="3"/>
  <c r="N391" i="3"/>
  <c r="N390" i="3"/>
  <c r="N389" i="3"/>
  <c r="N388" i="3"/>
  <c r="N387" i="3"/>
  <c r="N386" i="3"/>
  <c r="N385" i="3"/>
  <c r="N384" i="3"/>
  <c r="N383" i="3"/>
  <c r="N382" i="3"/>
  <c r="N381" i="3"/>
  <c r="N380" i="3"/>
  <c r="N379" i="3"/>
  <c r="N378" i="3"/>
  <c r="N377" i="3"/>
  <c r="N376" i="3"/>
  <c r="N375" i="3"/>
  <c r="N374" i="3"/>
  <c r="N373" i="3"/>
  <c r="N372" i="3"/>
  <c r="N371" i="3"/>
  <c r="N370" i="3"/>
  <c r="N369" i="3"/>
  <c r="N368" i="3"/>
  <c r="N367" i="3"/>
  <c r="N366" i="3"/>
  <c r="N365" i="3"/>
  <c r="N364" i="3"/>
  <c r="N363" i="3"/>
  <c r="N362" i="3"/>
  <c r="N361" i="3"/>
  <c r="N360" i="3"/>
  <c r="N359" i="3"/>
  <c r="N358" i="3"/>
  <c r="N357" i="3"/>
  <c r="N356" i="3"/>
  <c r="N355" i="3"/>
  <c r="N354" i="3"/>
  <c r="N353" i="3"/>
  <c r="N352" i="3"/>
  <c r="N351" i="3"/>
  <c r="N350" i="3"/>
  <c r="N349" i="3"/>
  <c r="N348" i="3"/>
  <c r="N347" i="3"/>
  <c r="N346" i="3"/>
  <c r="N345" i="3"/>
  <c r="N344" i="3"/>
  <c r="N343" i="3"/>
  <c r="N342" i="3"/>
  <c r="N341" i="3"/>
  <c r="N340" i="3"/>
  <c r="N339" i="3"/>
  <c r="N338" i="3"/>
  <c r="N337" i="3"/>
  <c r="N336" i="3"/>
  <c r="N335" i="3"/>
  <c r="N334" i="3"/>
  <c r="N333" i="3"/>
  <c r="N332" i="3"/>
  <c r="N331" i="3"/>
  <c r="N330" i="3"/>
  <c r="N329" i="3"/>
  <c r="N328" i="3"/>
  <c r="N327" i="3"/>
  <c r="N326" i="3"/>
  <c r="N325" i="3"/>
  <c r="N324" i="3"/>
  <c r="N323" i="3"/>
  <c r="N322" i="3"/>
  <c r="N321" i="3"/>
  <c r="N320" i="3"/>
  <c r="N319" i="3"/>
  <c r="N318" i="3"/>
  <c r="N317" i="3"/>
  <c r="N316" i="3"/>
  <c r="N315" i="3"/>
  <c r="N314" i="3"/>
  <c r="N313" i="3"/>
  <c r="N312" i="3"/>
  <c r="N311" i="3"/>
  <c r="N310" i="3"/>
  <c r="N309" i="3"/>
  <c r="N308" i="3"/>
  <c r="N307" i="3"/>
  <c r="N306" i="3"/>
  <c r="N305" i="3"/>
  <c r="N304" i="3"/>
  <c r="N303" i="3"/>
  <c r="N302" i="3"/>
  <c r="N301" i="3"/>
  <c r="N300" i="3"/>
  <c r="N299" i="3"/>
  <c r="N298" i="3"/>
  <c r="N297" i="3"/>
  <c r="N296" i="3"/>
  <c r="N295" i="3"/>
  <c r="N294" i="3"/>
  <c r="N293" i="3"/>
  <c r="N292" i="3"/>
  <c r="N291" i="3"/>
  <c r="N290" i="3"/>
  <c r="N289" i="3"/>
  <c r="N288" i="3"/>
  <c r="N287" i="3"/>
  <c r="N286" i="3"/>
  <c r="N285" i="3"/>
  <c r="N284" i="3"/>
  <c r="N283" i="3"/>
  <c r="N282" i="3"/>
  <c r="N281" i="3"/>
  <c r="N280" i="3"/>
  <c r="N279" i="3"/>
  <c r="N278" i="3"/>
  <c r="N277" i="3"/>
  <c r="N276" i="3"/>
  <c r="N275" i="3"/>
  <c r="N274" i="3"/>
  <c r="N273" i="3"/>
  <c r="N272" i="3"/>
  <c r="N271" i="3"/>
  <c r="N270" i="3"/>
  <c r="N269" i="3"/>
  <c r="N268" i="3"/>
  <c r="N267" i="3"/>
  <c r="N266" i="3"/>
  <c r="N265" i="3"/>
  <c r="N264" i="3"/>
  <c r="N263" i="3"/>
  <c r="N262" i="3"/>
  <c r="N261" i="3"/>
  <c r="N260" i="3"/>
  <c r="N259" i="3"/>
  <c r="N258" i="3"/>
  <c r="N257" i="3"/>
  <c r="N256" i="3"/>
  <c r="N255" i="3"/>
  <c r="N254" i="3"/>
  <c r="N253" i="3"/>
  <c r="N252" i="3"/>
  <c r="N251" i="3"/>
  <c r="N250" i="3"/>
  <c r="N249" i="3"/>
  <c r="N248" i="3"/>
  <c r="N247" i="3"/>
  <c r="N246" i="3"/>
  <c r="N245" i="3"/>
  <c r="N244" i="3"/>
  <c r="N243" i="3"/>
  <c r="N242" i="3"/>
  <c r="N241" i="3"/>
  <c r="N240" i="3"/>
  <c r="N239" i="3"/>
  <c r="N238" i="3"/>
  <c r="N237" i="3"/>
  <c r="N236" i="3"/>
  <c r="N235" i="3"/>
  <c r="N234" i="3"/>
  <c r="N233" i="3"/>
  <c r="N232" i="3"/>
  <c r="N231" i="3"/>
  <c r="N230" i="3"/>
  <c r="N229" i="3"/>
  <c r="N228" i="3"/>
  <c r="N227" i="3"/>
  <c r="N226" i="3"/>
  <c r="N225" i="3"/>
  <c r="N224" i="3"/>
  <c r="N223" i="3"/>
  <c r="N222" i="3"/>
  <c r="N221" i="3"/>
  <c r="N220" i="3"/>
  <c r="N219" i="3"/>
  <c r="N218" i="3"/>
  <c r="N217" i="3"/>
  <c r="N216" i="3"/>
  <c r="N215" i="3"/>
  <c r="N214" i="3"/>
  <c r="N213" i="3"/>
  <c r="N212" i="3"/>
  <c r="N211" i="3"/>
  <c r="N210" i="3"/>
  <c r="N209" i="3"/>
  <c r="N208" i="3"/>
  <c r="N207" i="3"/>
  <c r="N206" i="3"/>
  <c r="N205" i="3"/>
  <c r="N204" i="3"/>
  <c r="N203" i="3"/>
  <c r="N202" i="3"/>
  <c r="N201" i="3"/>
  <c r="N200" i="3"/>
  <c r="N199" i="3"/>
  <c r="N198" i="3"/>
  <c r="N197" i="3"/>
  <c r="N196" i="3"/>
  <c r="N195" i="3"/>
  <c r="N194" i="3"/>
  <c r="N193" i="3"/>
  <c r="N192" i="3"/>
  <c r="N191" i="3"/>
  <c r="N190" i="3"/>
  <c r="N189" i="3"/>
  <c r="N188" i="3"/>
  <c r="N187" i="3"/>
  <c r="N186" i="3"/>
  <c r="N185" i="3"/>
  <c r="N184" i="3"/>
  <c r="N183" i="3"/>
  <c r="N182" i="3"/>
  <c r="N181" i="3"/>
  <c r="N180" i="3"/>
  <c r="N179" i="3"/>
  <c r="N178" i="3"/>
  <c r="N177" i="3"/>
  <c r="N176" i="3"/>
  <c r="N175" i="3"/>
  <c r="N174" i="3"/>
  <c r="N173" i="3"/>
  <c r="N172" i="3"/>
  <c r="N171" i="3"/>
  <c r="N170" i="3"/>
  <c r="N169" i="3"/>
  <c r="N168" i="3"/>
  <c r="N167" i="3"/>
  <c r="N166" i="3"/>
  <c r="N165" i="3"/>
  <c r="N164" i="3"/>
  <c r="N163" i="3"/>
  <c r="N162" i="3"/>
  <c r="N161" i="3"/>
  <c r="N160" i="3"/>
  <c r="N159" i="3"/>
  <c r="N158" i="3"/>
  <c r="N157" i="3"/>
  <c r="N156" i="3"/>
  <c r="N155" i="3"/>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 r="N4" i="3"/>
  <c r="N3" i="3"/>
  <c r="N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tc={294B5E02-6DF7-4A79-8C48-FEA82BEA0484}</author>
    <author>tc={08BAD6A2-FD76-4B85-9723-7E72B3429958}</author>
    <author>tc={1302F8BA-6668-406F-927A-DFB2E8805F32}</author>
    <author>tc={F1DD4D1D-6E97-445C-AFFA-27EE253E586F}</author>
    <author>tc={46508C1F-400E-4D67-8135-B9A12B7E8EF1}</author>
    <author>tc={0D89E9AD-6C50-46F9-9FD1-3C160974B197}</author>
    <author>tc={1143FB7D-B14D-45CA-B665-C758A515C334}</author>
    <author>tc={AA8C2DCF-478E-46C7-A46E-9B9C3F62BE8A}</author>
  </authors>
  <commentList>
    <comment ref="H3" authorId="0" shapeId="0" xr:uid="{294B5E02-6DF7-4A79-8C48-FEA82BEA0484}">
      <text>
        <t>[Threaded comment]
Your version of Excel allows you to read this threaded comment; however, any edits to it will get removed if the file is opened in a newer version of Excel. Learn more: https://go.microsoft.com/fwlink/?linkid=870924
Comment:
    For POC: A = Preferred vendor, B=want to keep, but not preferred or un-preferred, C=unpreferred, low spend or replacement available</t>
      </text>
    </comment>
    <comment ref="M3" authorId="1" shapeId="0" xr:uid="{08BAD6A2-FD76-4B85-9723-7E72B3429958}">
      <text>
        <t>[Threaded comment]
Your version of Excel allows you to read this threaded comment; however, any edits to it will get removed if the file is opened in a newer version of Excel. Learn more: https://go.microsoft.com/fwlink/?linkid=870924
Comment:
    Manufactured data for POC</t>
      </text>
    </comment>
    <comment ref="H44" authorId="2" shapeId="0" xr:uid="{1302F8BA-6668-406F-927A-DFB2E8805F32}">
      <text>
        <t xml:space="preserve">[Threaded comment]
Your version of Excel allows you to read this threaded comment; however, any edits to it will get removed if the file is opened in a newer version of Excel. Learn more: https://go.microsoft.com/fwlink/?linkid=870924
Comment:
    Tuija will check invoices, after which P&amp;E and AUT HRBPs included
Reply:
    Invoices sent to Johanna Ahokas - her reply 22.9.: palvelu ei ole sellaista jota ei voitaisi hankkia muualta. Vastaavalle palvelulle on käyttöä jatkossa.
En ole vielä ehtinyt kyselemään kuinka paljon häntä jatkossa olisi tarvetta käyttää mutta arvioisin 
että vähenevissä määrin varsinkin jos saamma vastaavan palveluntuottajan tilalle.
</t>
      </text>
    </comment>
    <comment ref="L47" authorId="3" shapeId="0" xr:uid="{F1DD4D1D-6E97-445C-AFFA-27EE253E586F}">
      <text>
        <t xml:space="preserve">[Threaded comment]
Your version of Excel allows you to read this threaded comment; however, any edits to it will get removed if the file is opened in a newer version of Excel. Learn more: https://go.microsoft.com/fwlink/?linkid=870924
Comment:
    Sent a mail
Reply:
    Satu Pennanen: 
Meillä on vuoden loppuun asti menossa proggis, missä Elina on mukana. 
</t>
      </text>
    </comment>
    <comment ref="L54" authorId="4" shapeId="0" xr:uid="{46508C1F-400E-4D67-8135-B9A12B7E8EF1}">
      <text>
        <t>[Threaded comment]
Your version of Excel allows you to read this threaded comment; however, any edits to it will get removed if the file is opened in a newer version of Excel. Learn more: https://go.microsoft.com/fwlink/?linkid=870924
Comment:
    Sent a mail</t>
      </text>
    </comment>
    <comment ref="H57" authorId="5" shapeId="0" xr:uid="{0D89E9AD-6C50-46F9-9FD1-3C160974B197}">
      <text>
        <t xml:space="preserve">[Threaded comment]
Your version of Excel allows you to read this threaded comment; however, any edits to it will get removed if the file is opened in a newer version of Excel. Learn more: https://go.microsoft.com/fwlink/?linkid=870924
Comment:
    Need for a comprehensive analysis on well-being related services &amp; suppliers </t>
      </text>
    </comment>
    <comment ref="H58" authorId="6" shapeId="0" xr:uid="{1143FB7D-B14D-45CA-B665-C758A515C334}">
      <text>
        <t>[Threaded comment]
Your version of Excel allows you to read this threaded comment; however, any edits to it will get removed if the file is opened in a newer version of Excel. Learn more: https://go.microsoft.com/fwlink/?linkid=870924
Comment:
    Tuija to share invoice data with Maria</t>
      </text>
    </comment>
    <comment ref="L60" authorId="7" shapeId="0" xr:uid="{AA8C2DCF-478E-46C7-A46E-9B9C3F62BE8A}">
      <text>
        <t xml:space="preserve">[Threaded comment]
Your version of Excel allows you to read this threaded comment; however, any edits to it will get removed if the file is opened in a newer version of Excel. Learn more: https://go.microsoft.com/fwlink/?linkid=870924
Comment:
    Question sent
</t>
      </text>
    </comment>
  </commentList>
</comments>
</file>

<file path=xl/sharedStrings.xml><?xml version="1.0" encoding="utf-8"?>
<sst xmlns="http://schemas.openxmlformats.org/spreadsheetml/2006/main" count="15875" uniqueCount="4506">
  <si>
    <t>Business Partner Company Name</t>
  </si>
  <si>
    <t>Branch Id</t>
  </si>
  <si>
    <t>Main Category</t>
  </si>
  <si>
    <t>Sub Category</t>
  </si>
  <si>
    <t>Spend</t>
  </si>
  <si>
    <t>E-invoicing</t>
  </si>
  <si>
    <t>PO coverage</t>
  </si>
  <si>
    <t>Spend Under Control Coverage</t>
  </si>
  <si>
    <t>Count of Invoice Receipts</t>
  </si>
  <si>
    <t>Actual Invoice Payment Time Average (Invoice amount weighted)</t>
  </si>
  <si>
    <t>Invoice Payment Period Average (Invoice amount weighted)</t>
  </si>
  <si>
    <t>Business Partner Payment Terms Id</t>
  </si>
  <si>
    <t>SSC Policy Signed</t>
  </si>
  <si>
    <t>Supplier Missing Data</t>
  </si>
  <si>
    <t>Kiwa Impact Oy</t>
  </si>
  <si>
    <t>284620</t>
  </si>
  <si>
    <t>IPPS - Professional services</t>
  </si>
  <si>
    <t>IPPS01 - Testing, measurement &amp; inspection</t>
  </si>
  <si>
    <t>STOP_N60</t>
  </si>
  <si>
    <t>Yes</t>
  </si>
  <si>
    <t>No</t>
  </si>
  <si>
    <t>Danske Bank A/S, Suomen sivuliike</t>
  </si>
  <si>
    <t>381110</t>
  </si>
  <si>
    <t>IPPS02 - Business consulting</t>
  </si>
  <si>
    <t>STOP_N14</t>
  </si>
  <si>
    <t>Berggren Oy</t>
  </si>
  <si>
    <t>384283</t>
  </si>
  <si>
    <t>IPPS05 - Patent services</t>
  </si>
  <si>
    <t>Biisoni Oy</t>
  </si>
  <si>
    <t>344325</t>
  </si>
  <si>
    <t>IPPE - Personnel</t>
  </si>
  <si>
    <t>IPPE07 - Leased workforce</t>
  </si>
  <si>
    <t>twoday oy</t>
  </si>
  <si>
    <t>392337</t>
  </si>
  <si>
    <t>STOP_N30</t>
  </si>
  <si>
    <t>Basware Oy</t>
  </si>
  <si>
    <t>616567</t>
  </si>
  <si>
    <t>Dennemeyer &amp; Co. Sarl</t>
  </si>
  <si>
    <t>606692</t>
  </si>
  <si>
    <t>STOP_N45</t>
  </si>
  <si>
    <t>Kenttäviiva Oy Automaatio</t>
  </si>
  <si>
    <t>228861</t>
  </si>
  <si>
    <t>IPPS07 - R&amp;D services &amp; materials</t>
  </si>
  <si>
    <t>Adecco Finland Oy</t>
  </si>
  <si>
    <t>278118</t>
  </si>
  <si>
    <t>Digital Workforce Services Oy</t>
  </si>
  <si>
    <t>622218</t>
  </si>
  <si>
    <t>Capgemini Finland Oy</t>
  </si>
  <si>
    <t>628390</t>
  </si>
  <si>
    <t>TEec Oy</t>
  </si>
  <si>
    <t>377128</t>
  </si>
  <si>
    <t>Visma Amili Oy</t>
  </si>
  <si>
    <t>340659</t>
  </si>
  <si>
    <t>CRITICAL</t>
  </si>
  <si>
    <t>Midagon Oy</t>
  </si>
  <si>
    <t>391845</t>
  </si>
  <si>
    <t>ManpowerGroup Oy</t>
  </si>
  <si>
    <t>607060</t>
  </si>
  <si>
    <t>KnowIt Solutions Oy</t>
  </si>
  <si>
    <t>646437</t>
  </si>
  <si>
    <t>Kolster Oy Ab</t>
  </si>
  <si>
    <t>161884</t>
  </si>
  <si>
    <t>DEKRA Industrial Oy</t>
  </si>
  <si>
    <t>504367</t>
  </si>
  <si>
    <t>Tiedtke-Bühling-Kinne &amp; Partner GbR</t>
  </si>
  <si>
    <t>603165</t>
  </si>
  <si>
    <t>Metlab Oy</t>
  </si>
  <si>
    <t>501971</t>
  </si>
  <si>
    <t>Crayon Oy</t>
  </si>
  <si>
    <t>296632</t>
  </si>
  <si>
    <t>GoMetan III Oy</t>
  </si>
  <si>
    <t>632993</t>
  </si>
  <si>
    <t>272674</t>
  </si>
  <si>
    <t>Forward Forever</t>
  </si>
  <si>
    <t>643120</t>
  </si>
  <si>
    <t>Rekrytointipalvelu Sihti Oy</t>
  </si>
  <si>
    <t>386990</t>
  </si>
  <si>
    <t>Zure Oy</t>
  </si>
  <si>
    <t>632449</t>
  </si>
  <si>
    <t>Biisoni Tampere Oy</t>
  </si>
  <si>
    <t>623840</t>
  </si>
  <si>
    <t xml:space="preserve"> LUNG TIN INTELLECTUAL PROPERTY AGENT LTD.</t>
  </si>
  <si>
    <t>404604</t>
  </si>
  <si>
    <t>KPMG Oy Ab</t>
  </si>
  <si>
    <t>600689</t>
  </si>
  <si>
    <t>Kiwa Oy</t>
  </si>
  <si>
    <t>503357</t>
  </si>
  <si>
    <t>LRQA Limited, Suomen sivuliike</t>
  </si>
  <si>
    <t>292268</t>
  </si>
  <si>
    <t>IPPS06 - Certification, standardization &amp; audits</t>
  </si>
  <si>
    <t>Finitec Oy</t>
  </si>
  <si>
    <t>631160</t>
  </si>
  <si>
    <t>Nigel Frank International</t>
  </si>
  <si>
    <t>647811</t>
  </si>
  <si>
    <t>Presto Oy</t>
  </si>
  <si>
    <t>607555</t>
  </si>
  <si>
    <t>IPPE06 - Training &amp; people development</t>
  </si>
  <si>
    <t>Deloitte Oy</t>
  </si>
  <si>
    <t>210085</t>
  </si>
  <si>
    <t>Alfa Mobility Finland Oy</t>
  </si>
  <si>
    <t>241134</t>
  </si>
  <si>
    <t>Sweden Modular Management AB</t>
  </si>
  <si>
    <t>383188</t>
  </si>
  <si>
    <t>Taitopilvi Oy</t>
  </si>
  <si>
    <t>621542</t>
  </si>
  <si>
    <t>Nomentia Oy</t>
  </si>
  <si>
    <t>635744</t>
  </si>
  <si>
    <t>Latomäen Sähköliike Ky</t>
  </si>
  <si>
    <t>267811</t>
  </si>
  <si>
    <t>Kassavirtanen Oy</t>
  </si>
  <si>
    <t>654756</t>
  </si>
  <si>
    <t>Nixu Oy</t>
  </si>
  <si>
    <t>309965</t>
  </si>
  <si>
    <t>Elisa IndustrIQ Finland Oy</t>
  </si>
  <si>
    <t>633834</t>
  </si>
  <si>
    <t>Ramboll Finland Oy</t>
  </si>
  <si>
    <t>614872</t>
  </si>
  <si>
    <t>Kespat Oy</t>
  </si>
  <si>
    <t>613959</t>
  </si>
  <si>
    <t>Säteilyturvakeskus</t>
  </si>
  <si>
    <t>603856</t>
  </si>
  <si>
    <t>Wipro Limited</t>
  </si>
  <si>
    <t>404438</t>
  </si>
  <si>
    <t>Eurofins Environment Testing Finland Oy</t>
  </si>
  <si>
    <t>406497</t>
  </si>
  <si>
    <t>Saltire Projects Limited</t>
  </si>
  <si>
    <t>291824</t>
  </si>
  <si>
    <t>Edward Lynx AB</t>
  </si>
  <si>
    <t>404521</t>
  </si>
  <si>
    <t>Hope Consulting Oy</t>
  </si>
  <si>
    <t>389324</t>
  </si>
  <si>
    <t>Ernst &amp; Young Oy</t>
  </si>
  <si>
    <t>277396</t>
  </si>
  <si>
    <t>T Tallqvist</t>
  </si>
  <si>
    <t>405556</t>
  </si>
  <si>
    <t>Nagarro Oy</t>
  </si>
  <si>
    <t>648708</t>
  </si>
  <si>
    <t>Needexperts SAS</t>
  </si>
  <si>
    <t>385972</t>
  </si>
  <si>
    <t>James Lowe Law</t>
  </si>
  <si>
    <t>633346</t>
  </si>
  <si>
    <t>Sähköinfo Oy</t>
  </si>
  <si>
    <t>604917</t>
  </si>
  <si>
    <t>Tata Consultancy Services Limited</t>
  </si>
  <si>
    <t>648706</t>
  </si>
  <si>
    <t>Energy Opticon AB</t>
  </si>
  <si>
    <t>333232</t>
  </si>
  <si>
    <t>Smartme Oy</t>
  </si>
  <si>
    <t>373006</t>
  </si>
  <si>
    <t>Suomen Ensiapukoulutus Oy</t>
  </si>
  <si>
    <t>332750</t>
  </si>
  <si>
    <t>PricewaterhouseCoopers Oy</t>
  </si>
  <si>
    <t>162976</t>
  </si>
  <si>
    <t>STOP_N07</t>
  </si>
  <si>
    <t>Työterveyslaitos</t>
  </si>
  <si>
    <t>501083</t>
  </si>
  <si>
    <t>Staria Oyj</t>
  </si>
  <si>
    <t>649042</t>
  </si>
  <si>
    <t>Sulava Oy</t>
  </si>
  <si>
    <t>630353</t>
  </si>
  <si>
    <t>Digia Finland Oy</t>
  </si>
  <si>
    <t>218764</t>
  </si>
  <si>
    <t>Fluentscale Oy</t>
  </si>
  <si>
    <t>406410</t>
  </si>
  <si>
    <t>Islet Intelligence Oy</t>
  </si>
  <si>
    <t>647396</t>
  </si>
  <si>
    <t>Lorenz &amp; Kollegen</t>
  </si>
  <si>
    <t>257222</t>
  </si>
  <si>
    <t>Comion Oy</t>
  </si>
  <si>
    <t>376161</t>
  </si>
  <si>
    <t>Lung Tin Intellectual Property Agent Ltd.</t>
  </si>
  <si>
    <t>195830</t>
  </si>
  <si>
    <t>Neomore Consulting Oy</t>
  </si>
  <si>
    <t>340888</t>
  </si>
  <si>
    <t>Pinja Digital Oy</t>
  </si>
  <si>
    <t>616042</t>
  </si>
  <si>
    <t>CPA GLOBAL (Patrafee) AB</t>
  </si>
  <si>
    <t>601433</t>
  </si>
  <si>
    <t>Sofigate Oy</t>
  </si>
  <si>
    <t>252501</t>
  </si>
  <si>
    <t>Isq Instituto de Soldadura</t>
  </si>
  <si>
    <t>258409</t>
  </si>
  <si>
    <t>Roschier Brands Asianajotoimisto Oy</t>
  </si>
  <si>
    <t>506965</t>
  </si>
  <si>
    <t>Nice-business Consulting Oy</t>
  </si>
  <si>
    <t>648152</t>
  </si>
  <si>
    <t>Japroko / Tmi Jukka Antikainen</t>
  </si>
  <si>
    <t>386209</t>
  </si>
  <si>
    <t>Rahoittamo Oy</t>
  </si>
  <si>
    <t>175343</t>
  </si>
  <si>
    <t>Frontia Asianajotoimisto Oy</t>
  </si>
  <si>
    <t>635127</t>
  </si>
  <si>
    <t>IPPS04 - Legal services</t>
  </si>
  <si>
    <t>AEL-Amiedu Oy</t>
  </si>
  <si>
    <t>634973</t>
  </si>
  <si>
    <t>Gasum Portfolio Services Oy</t>
  </si>
  <si>
    <t>402118</t>
  </si>
  <si>
    <t>Meletre SP, Z O.O.</t>
  </si>
  <si>
    <t>355081</t>
  </si>
  <si>
    <t>Top Analytica Oy Ab</t>
  </si>
  <si>
    <t>509921</t>
  </si>
  <si>
    <t>CPQ Finland Oy</t>
  </si>
  <si>
    <t>625641</t>
  </si>
  <si>
    <t>Jajonit Oy</t>
  </si>
  <si>
    <t>628264</t>
  </si>
  <si>
    <t>Oy Keskuslaboratorio - Centrallaboratorium Ab</t>
  </si>
  <si>
    <t>658226</t>
  </si>
  <si>
    <t>Stiennon &amp; Stiennon</t>
  </si>
  <si>
    <t>618250</t>
  </si>
  <si>
    <t>Washington Frank</t>
  </si>
  <si>
    <t>630464</t>
  </si>
  <si>
    <t>BearingPoint Finland Oy</t>
  </si>
  <si>
    <t>175449</t>
  </si>
  <si>
    <t>Teknologian tutkimuskeskus VTT Oy</t>
  </si>
  <si>
    <t>226170</t>
  </si>
  <si>
    <t>Valona Intelligence Oy</t>
  </si>
  <si>
    <t>615928</t>
  </si>
  <si>
    <t>DNV Business Assurance Finland Oy Ab</t>
  </si>
  <si>
    <t>503092</t>
  </si>
  <si>
    <t>EmiCon Oy</t>
  </si>
  <si>
    <t>639597</t>
  </si>
  <si>
    <t>Krios Business Consulting Oy</t>
  </si>
  <si>
    <t>628626</t>
  </si>
  <si>
    <t>Melkki Partners Oy</t>
  </si>
  <si>
    <t>650578</t>
  </si>
  <si>
    <t>Suomen Standardisoimisliitto SFS Ry</t>
  </si>
  <si>
    <t>501044</t>
  </si>
  <si>
    <t>Apprix Oy</t>
  </si>
  <si>
    <t>239755</t>
  </si>
  <si>
    <t>Centroid Consulting LLC</t>
  </si>
  <si>
    <t>649080</t>
  </si>
  <si>
    <t>Share2Learn S.L.</t>
  </si>
  <si>
    <t>648343</t>
  </si>
  <si>
    <t>618089</t>
  </si>
  <si>
    <t>Ceili Oy</t>
  </si>
  <si>
    <t>629830</t>
  </si>
  <si>
    <t>Psykologipalvelut Hippu Pintilä</t>
  </si>
  <si>
    <t>635240</t>
  </si>
  <si>
    <t>Tumedei Spa A Socio Unico</t>
  </si>
  <si>
    <t>652119</t>
  </si>
  <si>
    <t>Ekonomigruppen 3F AB</t>
  </si>
  <si>
    <t>511174</t>
  </si>
  <si>
    <t>GTT Finland Oy</t>
  </si>
  <si>
    <t>649096</t>
  </si>
  <si>
    <t>Innofactor Software Oy</t>
  </si>
  <si>
    <t>613921</t>
  </si>
  <si>
    <t>Laine IP Oy</t>
  </si>
  <si>
    <t>503944</t>
  </si>
  <si>
    <t>Signal Partners Oy</t>
  </si>
  <si>
    <t>603496</t>
  </si>
  <si>
    <t>World Commerce &amp; Contracting</t>
  </si>
  <si>
    <t>643590</t>
  </si>
  <si>
    <t>Amarock Oy</t>
  </si>
  <si>
    <t>649078</t>
  </si>
  <si>
    <t>Cescon, Barrieu, Flesch, Barreto e Teixeira</t>
  </si>
  <si>
    <t>656950</t>
  </si>
  <si>
    <t>Ernst &amp; Young, s.r.o</t>
  </si>
  <si>
    <t>381416</t>
  </si>
  <si>
    <t>EY Advisory Oy</t>
  </si>
  <si>
    <t>656278</t>
  </si>
  <si>
    <t>HAi-Design Airikkala Oy</t>
  </si>
  <si>
    <t>648319</t>
  </si>
  <si>
    <t>Resilio Oy</t>
  </si>
  <si>
    <t>407540</t>
  </si>
  <si>
    <t>Solid Plan Consulting</t>
  </si>
  <si>
    <t>652136</t>
  </si>
  <si>
    <t>Åbo Akademi</t>
  </si>
  <si>
    <t>603992</t>
  </si>
  <si>
    <t>Avida Finans AB (publ), filial i Finland</t>
  </si>
  <si>
    <t>632916</t>
  </si>
  <si>
    <t>Encap Oy</t>
  </si>
  <si>
    <t>170296</t>
  </si>
  <si>
    <t>Genpact (Uk) Limited</t>
  </si>
  <si>
    <t>649721</t>
  </si>
  <si>
    <t>INOXia Oy</t>
  </si>
  <si>
    <t>640082</t>
  </si>
  <si>
    <t>Jyväskylän Ammattikorkeakoulu</t>
  </si>
  <si>
    <t>201515</t>
  </si>
  <si>
    <t>Kova PMC Oy</t>
  </si>
  <si>
    <t>635184</t>
  </si>
  <si>
    <t>Papula Oy</t>
  </si>
  <si>
    <t>607599</t>
  </si>
  <si>
    <t>Prosessilaskenta Haukka</t>
  </si>
  <si>
    <t>257454</t>
  </si>
  <si>
    <t>Sinkkonen Consulting Oy</t>
  </si>
  <si>
    <t>349102</t>
  </si>
  <si>
    <t>Abitata</t>
  </si>
  <si>
    <t>382766</t>
  </si>
  <si>
    <t>Alight Solutions Europe Limited</t>
  </si>
  <si>
    <t>623343</t>
  </si>
  <si>
    <t>Asianajotoimisto Roihu Oy</t>
  </si>
  <si>
    <t>404485</t>
  </si>
  <si>
    <t>Bitville Oy</t>
  </si>
  <si>
    <t>400676</t>
  </si>
  <si>
    <t>Cloud1 Oy</t>
  </si>
  <si>
    <t>641041</t>
  </si>
  <si>
    <t>Eurofins Expert Services Oy</t>
  </si>
  <si>
    <t>649925</t>
  </si>
  <si>
    <t>Finn-Tarkastus Oy</t>
  </si>
  <si>
    <t>639705</t>
  </si>
  <si>
    <t>Hansacon Finland Oy</t>
  </si>
  <si>
    <t>292120</t>
  </si>
  <si>
    <t>Helsingin Kamari Oy</t>
  </si>
  <si>
    <t>509013</t>
  </si>
  <si>
    <t>Hopeajalka Oy</t>
  </si>
  <si>
    <t>631702</t>
  </si>
  <si>
    <t>IMD-International Institute for Managem. Develop.</t>
  </si>
  <si>
    <t>383390</t>
  </si>
  <si>
    <t>Infor (Sweden) AB</t>
  </si>
  <si>
    <t>381373</t>
  </si>
  <si>
    <t>iZZDone Consulting Lda</t>
  </si>
  <si>
    <t>648707</t>
  </si>
  <si>
    <t>Kilmantec Oy</t>
  </si>
  <si>
    <t>605007</t>
  </si>
  <si>
    <t>Advantus UAB</t>
  </si>
  <si>
    <t>624372</t>
  </si>
  <si>
    <t>STOP_N21</t>
  </si>
  <si>
    <t>Boco IP Oy Ab</t>
  </si>
  <si>
    <t>508704</t>
  </si>
  <si>
    <t>E &amp; P Import Oy</t>
  </si>
  <si>
    <t>651510</t>
  </si>
  <si>
    <t>Eezy Kevytyrittäjät Osk</t>
  </si>
  <si>
    <t>280435</t>
  </si>
  <si>
    <t>Flynn O'Driscoll business lawyers</t>
  </si>
  <si>
    <t>649720</t>
  </si>
  <si>
    <t>Hannes Snellman Advokatbyrå Ab</t>
  </si>
  <si>
    <t>161306</t>
  </si>
  <si>
    <t>Insinööriavain Oy</t>
  </si>
  <si>
    <t>651434</t>
  </si>
  <si>
    <t>Integrity Consulting Oy</t>
  </si>
  <si>
    <t>648153</t>
  </si>
  <si>
    <t>JRK Consulting Oy</t>
  </si>
  <si>
    <t>645644</t>
  </si>
  <si>
    <t>KWSOFT - Krzysztof Juskiewicz</t>
  </si>
  <si>
    <t>647353</t>
  </si>
  <si>
    <t>Lecklé Alvia Oy</t>
  </si>
  <si>
    <t>656509</t>
  </si>
  <si>
    <t>Moment Group Oy</t>
  </si>
  <si>
    <t>404575</t>
  </si>
  <si>
    <t>Neuvolab Oy</t>
  </si>
  <si>
    <t>639365</t>
  </si>
  <si>
    <t>Ples Florin</t>
  </si>
  <si>
    <t>649340</t>
  </si>
  <si>
    <t>Power Solutions Kft.</t>
  </si>
  <si>
    <t>379931</t>
  </si>
  <si>
    <t>Soutwestern Consulting LTD</t>
  </si>
  <si>
    <t>656486</t>
  </si>
  <si>
    <t>T&amp;m Consultoria Empresarial LTDA</t>
  </si>
  <si>
    <t>638581</t>
  </si>
  <si>
    <t>TeemuVeikko</t>
  </si>
  <si>
    <t>646488</t>
  </si>
  <si>
    <t>269895</t>
  </si>
  <si>
    <t>TMI Frank Torres</t>
  </si>
  <si>
    <t>628154</t>
  </si>
  <si>
    <t>TÜV Rheinland Industrie Service GmbH</t>
  </si>
  <si>
    <t>629855</t>
  </si>
  <si>
    <t>Aalto University Executive Education Oy</t>
  </si>
  <si>
    <t>615149</t>
  </si>
  <si>
    <t>Caleon</t>
  </si>
  <si>
    <t>349626</t>
  </si>
  <si>
    <t>Chofn Intellectual Property</t>
  </si>
  <si>
    <t>368470</t>
  </si>
  <si>
    <t>CML Automation Oy</t>
  </si>
  <si>
    <t>641714</t>
  </si>
  <si>
    <t>Colt Technology Services, Unipessoal, Lda</t>
  </si>
  <si>
    <t>664182</t>
  </si>
  <si>
    <t>Columbia Road Oy</t>
  </si>
  <si>
    <t>656661</t>
  </si>
  <si>
    <t>Finvoicer Group Oy</t>
  </si>
  <si>
    <t>162241</t>
  </si>
  <si>
    <t>Gaia Consulting Oy</t>
  </si>
  <si>
    <t>255920</t>
  </si>
  <si>
    <t>Inspecta Sertifiointi Oy</t>
  </si>
  <si>
    <t>621203</t>
  </si>
  <si>
    <t>Jones Lang LaSalle Finland Oy</t>
  </si>
  <si>
    <t>363809</t>
  </si>
  <si>
    <t>Konsulttitoimisto Pasi Sarinko Oy</t>
  </si>
  <si>
    <t>639162</t>
  </si>
  <si>
    <t>Leapro</t>
  </si>
  <si>
    <t>640899</t>
  </si>
  <si>
    <t>Lloyd's Register EMEA Branch Office, Suomen</t>
  </si>
  <si>
    <t>500939</t>
  </si>
  <si>
    <t>Mazeppa Danmark ApS</t>
  </si>
  <si>
    <t>650316</t>
  </si>
  <si>
    <t>Pidaco Oy</t>
  </si>
  <si>
    <t>162845</t>
  </si>
  <si>
    <t>Punainen Risti Ensiapu Oy</t>
  </si>
  <si>
    <t>408310</t>
  </si>
  <si>
    <t>Purmaconsulting Oy</t>
  </si>
  <si>
    <t>375834</t>
  </si>
  <si>
    <t>Regis-TR UK Ltd.</t>
  </si>
  <si>
    <t>641142</t>
  </si>
  <si>
    <t>Tulityö ja työturvallisuuskoulutus Kalle Hankomäki Oy</t>
  </si>
  <si>
    <t>380921</t>
  </si>
  <si>
    <t>Wellpack Oy</t>
  </si>
  <si>
    <t>662770</t>
  </si>
  <si>
    <t>3E Rapid Prototyping Limited</t>
  </si>
  <si>
    <t>654453</t>
  </si>
  <si>
    <t>AS3 Finland Oy</t>
  </si>
  <si>
    <t>403389</t>
  </si>
  <si>
    <t>Asianajotoimisto Castrén &amp; Snellman Oy</t>
  </si>
  <si>
    <t>614060</t>
  </si>
  <si>
    <t>ConnectingTalents Oy iDiD</t>
  </si>
  <si>
    <t>648655</t>
  </si>
  <si>
    <t>Genip Oy</t>
  </si>
  <si>
    <t>260552</t>
  </si>
  <si>
    <t>Groth &amp; CO KB</t>
  </si>
  <si>
    <t>289881</t>
  </si>
  <si>
    <t>itdesign GmbH</t>
  </si>
  <si>
    <t>640953</t>
  </si>
  <si>
    <t>Kasznar Leonardos Advogados</t>
  </si>
  <si>
    <t>375087</t>
  </si>
  <si>
    <t>Koolituskorraldus OÜ</t>
  </si>
  <si>
    <t>641406</t>
  </si>
  <si>
    <t>ManTec AB</t>
  </si>
  <si>
    <t>663937</t>
  </si>
  <si>
    <t>Navcite Consulting AB</t>
  </si>
  <si>
    <t>280824</t>
  </si>
  <si>
    <t>PayEx Suomi Oy</t>
  </si>
  <si>
    <t>282544</t>
  </si>
  <si>
    <t>Reble &amp; Klose</t>
  </si>
  <si>
    <t>663538</t>
  </si>
  <si>
    <t>Unycom GmbH</t>
  </si>
  <si>
    <t>625886</t>
  </si>
  <si>
    <t>ALFA INSPEKT D.O.O.</t>
  </si>
  <si>
    <t>633450</t>
  </si>
  <si>
    <t>Aplicaciones Costa Rica, Ltda</t>
  </si>
  <si>
    <t>623821</t>
  </si>
  <si>
    <t>STOP_N10</t>
  </si>
  <si>
    <t>Asianajotoimisto White &amp; Case OY</t>
  </si>
  <si>
    <t>160710</t>
  </si>
  <si>
    <t>DTCC Data Repository (Ireland) Plc.(DDRIE)</t>
  </si>
  <si>
    <t>642241</t>
  </si>
  <si>
    <t>Emakina B.V.</t>
  </si>
  <si>
    <t>661651</t>
  </si>
  <si>
    <t>Hyvinvoinnin Suurlähettiläät Oy</t>
  </si>
  <si>
    <t>635292</t>
  </si>
  <si>
    <t>635601</t>
  </si>
  <si>
    <t>Platom Oy</t>
  </si>
  <si>
    <t>632547</t>
  </si>
  <si>
    <t>Poolia Sverige Ab</t>
  </si>
  <si>
    <t>273437</t>
  </si>
  <si>
    <t>Questel SAS</t>
  </si>
  <si>
    <t>253994</t>
  </si>
  <si>
    <t>RISE Research Institutes of Sweden AB</t>
  </si>
  <si>
    <t>360948</t>
  </si>
  <si>
    <t>Roschier Asianajotoimisto Oy</t>
  </si>
  <si>
    <t>163166</t>
  </si>
  <si>
    <t>Strs Consulting Oy</t>
  </si>
  <si>
    <t>389399</t>
  </si>
  <si>
    <t>Zeal Sourcing Oy</t>
  </si>
  <si>
    <t>657766</t>
  </si>
  <si>
    <t>AFRY Management Consulting Oy</t>
  </si>
  <si>
    <t>290981</t>
  </si>
  <si>
    <t>BB Net Oy</t>
  </si>
  <si>
    <t>649705</t>
  </si>
  <si>
    <t>BCFO Business Coaching Finland Oy</t>
  </si>
  <si>
    <t>374821</t>
  </si>
  <si>
    <t>CEMAsys Nordic AS</t>
  </si>
  <si>
    <t>656855</t>
  </si>
  <si>
    <t>CIS GmbH Consulting Inspection Services</t>
  </si>
  <si>
    <t>640033</t>
  </si>
  <si>
    <t>Deloitte Consulting Oy</t>
  </si>
  <si>
    <t>224402</t>
  </si>
  <si>
    <t>Dennemeyer &amp; Associates S.A.</t>
  </si>
  <si>
    <t>253544</t>
  </si>
  <si>
    <t>Helsingin Think International Communications Oy</t>
  </si>
  <si>
    <t>242794</t>
  </si>
  <si>
    <t>HPP Asianajotoimisto Oy</t>
  </si>
  <si>
    <t>168278</t>
  </si>
  <si>
    <t>ITOH Patent Attorney Corporation</t>
  </si>
  <si>
    <t>614962</t>
  </si>
  <si>
    <t>Mitta Oy</t>
  </si>
  <si>
    <t>618729</t>
  </si>
  <si>
    <t>Nortal Oy</t>
  </si>
  <si>
    <t>509192</t>
  </si>
  <si>
    <t>Oy Speakers Forum Finland Ab</t>
  </si>
  <si>
    <t>331659</t>
  </si>
  <si>
    <t>Pohto Oy</t>
  </si>
  <si>
    <t>602473</t>
  </si>
  <si>
    <t>Prime Island Oy</t>
  </si>
  <si>
    <t>657213</t>
  </si>
  <si>
    <t>Saaristo Treasury Consulting</t>
  </si>
  <si>
    <t>649239</t>
  </si>
  <si>
    <t>Sasu Horiba France SAS</t>
  </si>
  <si>
    <t>226316</t>
  </si>
  <si>
    <t>Sphera Solutions, Inc.,</t>
  </si>
  <si>
    <t>633603</t>
  </si>
  <si>
    <t>StaffPoint Oy</t>
  </si>
  <si>
    <t>655274</t>
  </si>
  <si>
    <t>Christinehamn Instrument &amp; Process Control AB</t>
  </si>
  <si>
    <t>501825</t>
  </si>
  <si>
    <t>Enopsis Oy</t>
  </si>
  <si>
    <t>380234</t>
  </si>
  <si>
    <t>602494</t>
  </si>
  <si>
    <t>Imaction</t>
  </si>
  <si>
    <t>646544</t>
  </si>
  <si>
    <t>K-Niemi Oy</t>
  </si>
  <si>
    <t>641080</t>
  </si>
  <si>
    <t>Ls Adhesive (HK.) Co., Ltd.</t>
  </si>
  <si>
    <t>652251</t>
  </si>
  <si>
    <t>PowerTen Oy</t>
  </si>
  <si>
    <t>632289</t>
  </si>
  <si>
    <t>511007</t>
  </si>
  <si>
    <t>Rokmind Oy</t>
  </si>
  <si>
    <t>647801</t>
  </si>
  <si>
    <t>Solver Oy</t>
  </si>
  <si>
    <t>267726</t>
  </si>
  <si>
    <t>Tampere Business Campus TBC ry</t>
  </si>
  <si>
    <t>224445</t>
  </si>
  <si>
    <t>Thalent SA</t>
  </si>
  <si>
    <t>649616</t>
  </si>
  <si>
    <t>Thomson Reuters (Professional) UK Limited</t>
  </si>
  <si>
    <t>627922</t>
  </si>
  <si>
    <t>TST-Partner Oy</t>
  </si>
  <si>
    <t>656046</t>
  </si>
  <si>
    <t>TÜV AUSTRIA GMBH</t>
  </si>
  <si>
    <t>262052</t>
  </si>
  <si>
    <t>Academic Work HR Services Oy</t>
  </si>
  <si>
    <t>398910</t>
  </si>
  <si>
    <t>Barragoda International</t>
  </si>
  <si>
    <t>623526</t>
  </si>
  <si>
    <t>CRS Laboratories Oy</t>
  </si>
  <si>
    <t>236728</t>
  </si>
  <si>
    <t>DB Pro Services Oy</t>
  </si>
  <si>
    <t>629804</t>
  </si>
  <si>
    <t>Design Reform Oy</t>
  </si>
  <si>
    <t>635186</t>
  </si>
  <si>
    <t>EF Language Learning Solutions AG</t>
  </si>
  <si>
    <t>310141</t>
  </si>
  <si>
    <t>Enact Sustainable Strategies</t>
  </si>
  <si>
    <t>626884</t>
  </si>
  <si>
    <t>Fellowmind Finland Oy</t>
  </si>
  <si>
    <t>667669</t>
  </si>
  <si>
    <t>International Institute for Learning Finland Oy</t>
  </si>
  <si>
    <t>295648</t>
  </si>
  <si>
    <t>Juuti Consulting Oy</t>
  </si>
  <si>
    <t>382875</t>
  </si>
  <si>
    <t>Kari Mäkelä Consulting Oy</t>
  </si>
  <si>
    <t>632579</t>
  </si>
  <si>
    <t>Kiwa Sweden AB</t>
  </si>
  <si>
    <t>508634</t>
  </si>
  <si>
    <t>Oulun Yliopisto</t>
  </si>
  <si>
    <t>601880</t>
  </si>
  <si>
    <t>Peili Consulting Oy</t>
  </si>
  <si>
    <t>386353</t>
  </si>
  <si>
    <t>Reinhart Boerner Van Deuren S.C.</t>
  </si>
  <si>
    <t>255408</t>
  </si>
  <si>
    <t>Tietokutomo</t>
  </si>
  <si>
    <t>621566</t>
  </si>
  <si>
    <t>ASME-The American Society of Mechanical Engineers</t>
  </si>
  <si>
    <t>376628</t>
  </si>
  <si>
    <t>BlueCielo ECM Solutions Oy</t>
  </si>
  <si>
    <t>246703</t>
  </si>
  <si>
    <t>Borenius Asianajotoimisto Oy</t>
  </si>
  <si>
    <t>621433</t>
  </si>
  <si>
    <t>Danson Capital Oy</t>
  </si>
  <si>
    <t>653632</t>
  </si>
  <si>
    <t>D-TECH di de Campo Paolo Alberto</t>
  </si>
  <si>
    <t>647784</t>
  </si>
  <si>
    <t>Eurofins Scientific Finland Oy</t>
  </si>
  <si>
    <t>281113</t>
  </si>
  <si>
    <t>Ferdinand Hoffmann</t>
  </si>
  <si>
    <t>241863</t>
  </si>
  <si>
    <t>Gerson Lehrman Group (Ireland) Limited</t>
  </si>
  <si>
    <t>648999</t>
  </si>
  <si>
    <t>HAK Nova Oy</t>
  </si>
  <si>
    <t>630977</t>
  </si>
  <si>
    <t>Infront Sweden AB</t>
  </si>
  <si>
    <t>657440</t>
  </si>
  <si>
    <t>Ingenieurbüro EDOH</t>
  </si>
  <si>
    <t>646570</t>
  </si>
  <si>
    <t>Innotiimi Oy</t>
  </si>
  <si>
    <t>604023</t>
  </si>
  <si>
    <t>Jones Day Germany</t>
  </si>
  <si>
    <t>664004</t>
  </si>
  <si>
    <t>Kajaanin Ammattikorkeakoulu Oy</t>
  </si>
  <si>
    <t>386089</t>
  </si>
  <si>
    <t>Lean Institute Finland Oy</t>
  </si>
  <si>
    <t>632315</t>
  </si>
  <si>
    <t>Romify Oy</t>
  </si>
  <si>
    <t>651464</t>
  </si>
  <si>
    <t>ServiceMax Inc.</t>
  </si>
  <si>
    <t>631492</t>
  </si>
  <si>
    <t>Softronic AB</t>
  </si>
  <si>
    <t>325532</t>
  </si>
  <si>
    <t>SSG Standard Solutions Group AB</t>
  </si>
  <si>
    <t>188005</t>
  </si>
  <si>
    <t>Steptoe &amp; Johnson PLLC</t>
  </si>
  <si>
    <t>383678</t>
  </si>
  <si>
    <t>Tina Sammi Oy</t>
  </si>
  <si>
    <t>633539</t>
  </si>
  <si>
    <t>VHT-Palvelut Oy</t>
  </si>
  <si>
    <t>656603</t>
  </si>
  <si>
    <t>Advokaadibüroo SORAINEN AS</t>
  </si>
  <si>
    <t>336635</t>
  </si>
  <si>
    <t>Asianajotoimisto Krogerus Oy</t>
  </si>
  <si>
    <t>238107</t>
  </si>
  <si>
    <t>BLUE global relocation e.K.</t>
  </si>
  <si>
    <t>666900</t>
  </si>
  <si>
    <t>STOP_300</t>
  </si>
  <si>
    <t>Catling Oy</t>
  </si>
  <si>
    <t>663141</t>
  </si>
  <si>
    <t>Codemate Oy</t>
  </si>
  <si>
    <t>373780</t>
  </si>
  <si>
    <t>Dovre Group Oyj</t>
  </si>
  <si>
    <t>363749</t>
  </si>
  <si>
    <t>Elina Lillstrang Oy</t>
  </si>
  <si>
    <t>637008</t>
  </si>
  <si>
    <t>Eurofins Electric &amp; Electronics Finland Oy</t>
  </si>
  <si>
    <t>649512</t>
  </si>
  <si>
    <t>Fisher International Inc.</t>
  </si>
  <si>
    <t>607052</t>
  </si>
  <si>
    <t>Hartsaco Oy</t>
  </si>
  <si>
    <t>170290</t>
  </si>
  <si>
    <t>HCL Technologies Finland Oy</t>
  </si>
  <si>
    <t>648651</t>
  </si>
  <si>
    <t>IMPLEMENT CONSULTING GROUP P/S</t>
  </si>
  <si>
    <t>391772</t>
  </si>
  <si>
    <t>In-Process Sweden AB</t>
  </si>
  <si>
    <t>255226</t>
  </si>
  <si>
    <t>Jay Partners Oy</t>
  </si>
  <si>
    <t>627816</t>
  </si>
  <si>
    <t>Jones Day Brussels Office</t>
  </si>
  <si>
    <t>639459</t>
  </si>
  <si>
    <t>Laatukeskus Excellence Finland Oy</t>
  </si>
  <si>
    <t>163473</t>
  </si>
  <si>
    <t>Logistiikka Koulutus V &amp; P Ky</t>
  </si>
  <si>
    <t>304456</t>
  </si>
  <si>
    <t>LRQA (Shanghai) Company Limited</t>
  </si>
  <si>
    <t>647104</t>
  </si>
  <si>
    <t>MAZARS CABRERA ASSESSORIA, CONS. E PLANEJAMENTO EMPR LTDA</t>
  </si>
  <si>
    <t>663343</t>
  </si>
  <si>
    <t>Mercer (Finland) Oy</t>
  </si>
  <si>
    <t>616222</t>
  </si>
  <si>
    <t>Oori Patent &amp; Law Office</t>
  </si>
  <si>
    <t>297957</t>
  </si>
  <si>
    <t>Professio Group Oy</t>
  </si>
  <si>
    <t>356012</t>
  </si>
  <si>
    <t>Sähköinsinööritoimisto Marco Mäenpää Oy</t>
  </si>
  <si>
    <t>643090</t>
  </si>
  <si>
    <t>Secapp Oy</t>
  </si>
  <si>
    <t>649157</t>
  </si>
  <si>
    <t>Technische Universität Darmstadt</t>
  </si>
  <si>
    <t>394195</t>
  </si>
  <si>
    <t>271001</t>
  </si>
  <si>
    <t>N/A</t>
  </si>
  <si>
    <t>Työturvallisuuskeskus ry</t>
  </si>
  <si>
    <t>603082</t>
  </si>
  <si>
    <t>STOP_N90</t>
  </si>
  <si>
    <t>Ukkonen Palvelut Oy</t>
  </si>
  <si>
    <t>628955</t>
  </si>
  <si>
    <t>ZeroAcc GmbH</t>
  </si>
  <si>
    <t>633449</t>
  </si>
  <si>
    <t>Afore Oy</t>
  </si>
  <si>
    <t>186280</t>
  </si>
  <si>
    <t>Alagaratnam Joseph Devanesan</t>
  </si>
  <si>
    <t>658154</t>
  </si>
  <si>
    <t>Board of Innovation BVBA</t>
  </si>
  <si>
    <t>406951</t>
  </si>
  <si>
    <t>Centre for Research and Technology Hellas - CERTH</t>
  </si>
  <si>
    <t>378106</t>
  </si>
  <si>
    <t>Clarkson Research Services Limited</t>
  </si>
  <si>
    <t>632244</t>
  </si>
  <si>
    <t>CSA Group  Europe GmbH</t>
  </si>
  <si>
    <t>639681</t>
  </si>
  <si>
    <t>Deloitte Touche Tohmatsu India LLP</t>
  </si>
  <si>
    <t>656986</t>
  </si>
  <si>
    <t>DLA Piper France LLP</t>
  </si>
  <si>
    <t>666620</t>
  </si>
  <si>
    <t>Emakina Commerce AB</t>
  </si>
  <si>
    <t>647728</t>
  </si>
  <si>
    <t>Ernst &amp; Young Baltic Uab</t>
  </si>
  <si>
    <t>269276</t>
  </si>
  <si>
    <t>Exenser EIRL</t>
  </si>
  <si>
    <t>343748</t>
  </si>
  <si>
    <t>exida Certification LLC</t>
  </si>
  <si>
    <t>653525</t>
  </si>
  <si>
    <t>Faust, Gerber, Haines Rechtsanwälte Notare</t>
  </si>
  <si>
    <t>668487</t>
  </si>
  <si>
    <t>Fiber-X Finland Oy</t>
  </si>
  <si>
    <t>641256</t>
  </si>
  <si>
    <t>Fondia Oy</t>
  </si>
  <si>
    <t>254414</t>
  </si>
  <si>
    <t>GCS Compliance Services Europe Ltd.</t>
  </si>
  <si>
    <t>386386</t>
  </si>
  <si>
    <t>Goltens Rotterdam B.V.</t>
  </si>
  <si>
    <t>637684</t>
  </si>
  <si>
    <t>Hawkins Wright Ltd</t>
  </si>
  <si>
    <t>258559</t>
  </si>
  <si>
    <t>Höganäs AB</t>
  </si>
  <si>
    <t>233087</t>
  </si>
  <si>
    <t>IM-prove Paper Board Oy</t>
  </si>
  <si>
    <t>383627</t>
  </si>
  <si>
    <t>Johannsen Beratung GbR</t>
  </si>
  <si>
    <t>668395</t>
  </si>
  <si>
    <t>JOHANSSON &amp; LANGLOIS</t>
  </si>
  <si>
    <t>668066</t>
  </si>
  <si>
    <t>Karandikar Laboratories Pvt. Ltd.</t>
  </si>
  <si>
    <t>653977</t>
  </si>
  <si>
    <t>KK-Palokonsultti Oy</t>
  </si>
  <si>
    <t>342822</t>
  </si>
  <si>
    <t>Kotovaara Consulting Oy</t>
  </si>
  <si>
    <t>665598</t>
  </si>
  <si>
    <t>LVI-Apu Kilpinen Ky</t>
  </si>
  <si>
    <t>404107</t>
  </si>
  <si>
    <t>Nordic West Office Oy</t>
  </si>
  <si>
    <t>658774</t>
  </si>
  <si>
    <t>Nottas Oy</t>
  </si>
  <si>
    <t>630544</t>
  </si>
  <si>
    <t>ORLEN Poludnie S.A.</t>
  </si>
  <si>
    <t>345822</t>
  </si>
  <si>
    <t>PLM Group Suomi Oy</t>
  </si>
  <si>
    <t>191198</t>
  </si>
  <si>
    <t>Punarbasu Bhattacharya</t>
  </si>
  <si>
    <t>625479</t>
  </si>
  <si>
    <t>Rugged Tooling Oy</t>
  </si>
  <si>
    <t>656577</t>
  </si>
  <si>
    <t>Ruokavirasto</t>
  </si>
  <si>
    <t>633627</t>
  </si>
  <si>
    <t>SGS Fimko Oy</t>
  </si>
  <si>
    <t>508026</t>
  </si>
  <si>
    <t>Sirate Group Oy</t>
  </si>
  <si>
    <t>383162</t>
  </si>
  <si>
    <t>Snowflake Computing Netherlands B.V.</t>
  </si>
  <si>
    <t>644776</t>
  </si>
  <si>
    <t>Stichting Internationaal Belasting Documentatie Bureau</t>
  </si>
  <si>
    <t>625260</t>
  </si>
  <si>
    <t>Stirling Inc SAS</t>
  </si>
  <si>
    <t>645687</t>
  </si>
  <si>
    <t>T:mi Kärppä Antti</t>
  </si>
  <si>
    <t>301748</t>
  </si>
  <si>
    <t>Testnova Oy</t>
  </si>
  <si>
    <t>651175</t>
  </si>
  <si>
    <t>Titako Oy</t>
  </si>
  <si>
    <t>602832</t>
  </si>
  <si>
    <t>TMF Administrative Services B.V.</t>
  </si>
  <si>
    <t>668195</t>
  </si>
  <si>
    <t>TMF Netherlands B.V.</t>
  </si>
  <si>
    <t>651840</t>
  </si>
  <si>
    <t>TÜV SÜD Industrie Service GmbH</t>
  </si>
  <si>
    <t>178788</t>
  </si>
  <si>
    <t>UTK-YHTIÖT OY</t>
  </si>
  <si>
    <t>404140</t>
  </si>
  <si>
    <t>Verizon Finland Oy</t>
  </si>
  <si>
    <t>644877</t>
  </si>
  <si>
    <t>Verona Consulting Oy</t>
  </si>
  <si>
    <t>606814</t>
  </si>
  <si>
    <t>AARP Logelbach Associes AARPI</t>
  </si>
  <si>
    <t>391684</t>
  </si>
  <si>
    <t>Alarm Control Alco Oy Ab</t>
  </si>
  <si>
    <t>613242</t>
  </si>
  <si>
    <t>Ambertec Oy</t>
  </si>
  <si>
    <t>246391</t>
  </si>
  <si>
    <t>American Petroleum Institute (API)</t>
  </si>
  <si>
    <t>653182</t>
  </si>
  <si>
    <t>ARKI Consulting Oy</t>
  </si>
  <si>
    <t>670677</t>
  </si>
  <si>
    <t>Asianajotoimisto Merkurius Oy</t>
  </si>
  <si>
    <t>623574</t>
  </si>
  <si>
    <t>Asianajotoimisto Roos &amp; Co Oy</t>
  </si>
  <si>
    <t>649624</t>
  </si>
  <si>
    <t>Axpo Nordic AS</t>
  </si>
  <si>
    <t>662293</t>
  </si>
  <si>
    <t>Berlitz Language Services</t>
  </si>
  <si>
    <t>508657</t>
  </si>
  <si>
    <t>Cadworks Oy</t>
  </si>
  <si>
    <t>608403</t>
  </si>
  <si>
    <t>Celtic-Next</t>
  </si>
  <si>
    <t>667045</t>
  </si>
  <si>
    <t>Centre Technique Du Papier</t>
  </si>
  <si>
    <t>155674</t>
  </si>
  <si>
    <t>Computerface</t>
  </si>
  <si>
    <t>642263</t>
  </si>
  <si>
    <t>D’ORSO ABRASSART</t>
  </si>
  <si>
    <t>649068</t>
  </si>
  <si>
    <t>Deloitte Risk Advisory</t>
  </si>
  <si>
    <t>657767</t>
  </si>
  <si>
    <t>Durag Sales &amp; Service GmbH &amp; Co. KG</t>
  </si>
  <si>
    <t>644399</t>
  </si>
  <si>
    <t>Eduko koulutus- ja yrityspalvelut Oy</t>
  </si>
  <si>
    <t>666645</t>
  </si>
  <si>
    <t>Eeva Niskavaara Consulting Oy</t>
  </si>
  <si>
    <t>402182</t>
  </si>
  <si>
    <t>EF Corporate Education Ltd</t>
  </si>
  <si>
    <t>665822</t>
  </si>
  <si>
    <t>Evli Oyj</t>
  </si>
  <si>
    <t>652736</t>
  </si>
  <si>
    <t>Fieldfisher Netherlands</t>
  </si>
  <si>
    <t>657225</t>
  </si>
  <si>
    <t>Flocon Technologies Oy</t>
  </si>
  <si>
    <t>662697</t>
  </si>
  <si>
    <t>Försäljningschefen Sverige AB</t>
  </si>
  <si>
    <t>663708</t>
  </si>
  <si>
    <t>Fraunhofer IAP</t>
  </si>
  <si>
    <t>648113</t>
  </si>
  <si>
    <t>Fulvisol Oy</t>
  </si>
  <si>
    <t>656209</t>
  </si>
  <si>
    <t>Goethe Institut</t>
  </si>
  <si>
    <t>602523</t>
  </si>
  <si>
    <t>GoodCo Oy</t>
  </si>
  <si>
    <t>650488</t>
  </si>
  <si>
    <t>Hasan Jameel</t>
  </si>
  <si>
    <t>601536</t>
  </si>
  <si>
    <t>Houston Analytics Oy</t>
  </si>
  <si>
    <t>383789</t>
  </si>
  <si>
    <t>IAMIP Sverige AB</t>
  </si>
  <si>
    <t>624823</t>
  </si>
  <si>
    <t>IHAS s.r.o.</t>
  </si>
  <si>
    <t>408383</t>
  </si>
  <si>
    <t>Innen Oy</t>
  </si>
  <si>
    <t>401590</t>
  </si>
  <si>
    <t>Innolink Research Oy</t>
  </si>
  <si>
    <t>379670</t>
  </si>
  <si>
    <t>KATA Safety Oy</t>
  </si>
  <si>
    <t>632647</t>
  </si>
  <si>
    <t>Kojair Tech Oy</t>
  </si>
  <si>
    <t>664886</t>
  </si>
  <si>
    <t>KPMG LLP</t>
  </si>
  <si>
    <t>612791</t>
  </si>
  <si>
    <t>LAB-ammattikorkeakoulu</t>
  </si>
  <si>
    <t>651414</t>
  </si>
  <si>
    <t>Länsirannikon Koulutus Oy</t>
  </si>
  <si>
    <t>397858</t>
  </si>
  <si>
    <t>Länsi-Suomen työturvallisuuskoulutus Oy</t>
  </si>
  <si>
    <t>332757</t>
  </si>
  <si>
    <t>Lumoame Oy</t>
  </si>
  <si>
    <t>648850</t>
  </si>
  <si>
    <t>M.L Control International</t>
  </si>
  <si>
    <t>623675</t>
  </si>
  <si>
    <t>Me Moll Verena</t>
  </si>
  <si>
    <t>660178</t>
  </si>
  <si>
    <t>Measur Oy</t>
  </si>
  <si>
    <t>645429</t>
  </si>
  <si>
    <t>Medwick V. Byrd Jr.</t>
  </si>
  <si>
    <t>601076</t>
  </si>
  <si>
    <t>Mensura Service Externe ASBL</t>
  </si>
  <si>
    <t>635561</t>
  </si>
  <si>
    <t>MetropoliLab Oy</t>
  </si>
  <si>
    <t>310790</t>
  </si>
  <si>
    <t>Nasdaq Helsinki Oy</t>
  </si>
  <si>
    <t>168402</t>
  </si>
  <si>
    <t>Nazdaq Nazareth Data Quest Ltd</t>
  </si>
  <si>
    <t>507877</t>
  </si>
  <si>
    <t>Nordic Business Forum Oy</t>
  </si>
  <si>
    <t>657108</t>
  </si>
  <si>
    <t>NPS Inspection Oy</t>
  </si>
  <si>
    <t>374867</t>
  </si>
  <si>
    <t>500986</t>
  </si>
  <si>
    <t>Paul events GmbH</t>
  </si>
  <si>
    <t>668030</t>
  </si>
  <si>
    <t>PBI Research Institute Oy Ab</t>
  </si>
  <si>
    <t>400544</t>
  </si>
  <si>
    <t>Protektu Oy</t>
  </si>
  <si>
    <t>650581</t>
  </si>
  <si>
    <t>Quality Knowhow Karjalainen Oy</t>
  </si>
  <si>
    <t>607929</t>
  </si>
  <si>
    <t>RefraConsult GmbH</t>
  </si>
  <si>
    <t>650322</t>
  </si>
  <si>
    <t>Rero CA SAS</t>
  </si>
  <si>
    <t>367631</t>
  </si>
  <si>
    <t>REROCA, S.A.</t>
  </si>
  <si>
    <t>667522</t>
  </si>
  <si>
    <t>Saranen Consulting Oy</t>
  </si>
  <si>
    <t>389430</t>
  </si>
  <si>
    <t>SAS DecisionBrain</t>
  </si>
  <si>
    <t>652069</t>
  </si>
  <si>
    <t>sbh4 GmbH</t>
  </si>
  <si>
    <t>632489</t>
  </si>
  <si>
    <t>Stichting Gasturbine Onderwijs</t>
  </si>
  <si>
    <t>644372</t>
  </si>
  <si>
    <t>StrategyCo Oy</t>
  </si>
  <si>
    <t>647725</t>
  </si>
  <si>
    <t>STU Consulting</t>
  </si>
  <si>
    <t>390351</t>
  </si>
  <si>
    <t>Suomen Pelastusalan Keskusjärjestö</t>
  </si>
  <si>
    <t>603777</t>
  </si>
  <si>
    <t>Synchronia Networks Oy/Noja Rahoitus</t>
  </si>
  <si>
    <t>670033</t>
  </si>
  <si>
    <t>Taival Advisory Oy</t>
  </si>
  <si>
    <t>622422</t>
  </si>
  <si>
    <t>Tampereen ammattikorkeakoulu Oy</t>
  </si>
  <si>
    <t>270332</t>
  </si>
  <si>
    <t>501101</t>
  </si>
  <si>
    <t>Teo-Pal Oy</t>
  </si>
  <si>
    <t>603145</t>
  </si>
  <si>
    <t>Tresentio Oy</t>
  </si>
  <si>
    <t>623745</t>
  </si>
  <si>
    <t>Turun Yliopisto</t>
  </si>
  <si>
    <t>172564</t>
  </si>
  <si>
    <t>University of Strasbourg</t>
  </si>
  <si>
    <t>227853</t>
  </si>
  <si>
    <t>Uudenmaan Koulutuskeskus Oy</t>
  </si>
  <si>
    <t>386100</t>
  </si>
  <si>
    <t>VédéVé Legal B.V.</t>
  </si>
  <si>
    <t>647025</t>
  </si>
  <si>
    <t>Vegotar Tööstusautomaatika OÜ</t>
  </si>
  <si>
    <t>649611</t>
  </si>
  <si>
    <t>Viestintäkoulutus Ethos Oy</t>
  </si>
  <si>
    <t>664086</t>
  </si>
  <si>
    <t>Villa Verto Oy (Lawyer's Design School)</t>
  </si>
  <si>
    <t>670230</t>
  </si>
  <si>
    <t>Yrittäjien Koulutuskeskus Oy</t>
  </si>
  <si>
    <t>607035</t>
  </si>
  <si>
    <t>360Mediatalo</t>
  </si>
  <si>
    <t>640146</t>
  </si>
  <si>
    <t>Adconsys Oy</t>
  </si>
  <si>
    <t>218696</t>
  </si>
  <si>
    <t>AIM Systems GmbH</t>
  </si>
  <si>
    <t>651642</t>
  </si>
  <si>
    <t>AL Tamimi &amp; Company</t>
  </si>
  <si>
    <t>166756</t>
  </si>
  <si>
    <t>Alicat Scientific B.V.</t>
  </si>
  <si>
    <t>651844</t>
  </si>
  <si>
    <t>Allenatore</t>
  </si>
  <si>
    <t>639270</t>
  </si>
  <si>
    <t>ALTERYX UK LTD</t>
  </si>
  <si>
    <t>633853</t>
  </si>
  <si>
    <t>Anakom Oy</t>
  </si>
  <si>
    <t>636419</t>
  </si>
  <si>
    <t>Anna-Mari Laulumaa Oy</t>
  </si>
  <si>
    <t>240448</t>
  </si>
  <si>
    <t>Antacon GmbH</t>
  </si>
  <si>
    <t>652731</t>
  </si>
  <si>
    <t>Antaras BV</t>
  </si>
  <si>
    <t>639393</t>
  </si>
  <si>
    <t>ASPAPEL</t>
  </si>
  <si>
    <t>648994</t>
  </si>
  <si>
    <t>ATZ Solutions Co., Ltd</t>
  </si>
  <si>
    <t>643503</t>
  </si>
  <si>
    <t>Audet Magna Ltd</t>
  </si>
  <si>
    <t>650391</t>
  </si>
  <si>
    <t>Baker Tilly US, LLP</t>
  </si>
  <si>
    <t>644240</t>
  </si>
  <si>
    <t>Bech-Bruun Law Firm P/S</t>
  </si>
  <si>
    <t>657887</t>
  </si>
  <si>
    <t>Birlasoft Solutions Limited</t>
  </si>
  <si>
    <t>648508</t>
  </si>
  <si>
    <t>Boardman &amp; Clark LLP</t>
  </si>
  <si>
    <t>354037</t>
  </si>
  <si>
    <t>CDP Worldwide (Europe) gGmbH</t>
  </si>
  <si>
    <t>400425</t>
  </si>
  <si>
    <t>Cerecaptio Oy Ltd</t>
  </si>
  <si>
    <t>649025</t>
  </si>
  <si>
    <t>Cevian Capital AB</t>
  </si>
  <si>
    <t>233725</t>
  </si>
  <si>
    <t>Cloud2 Oy</t>
  </si>
  <si>
    <t>649380</t>
  </si>
  <si>
    <t>Coresto Oy</t>
  </si>
  <si>
    <t>658228</t>
  </si>
  <si>
    <t>Crédit Agricole CIB Sweden Branch - Stockholm</t>
  </si>
  <si>
    <t>251798</t>
  </si>
  <si>
    <t>CTS Coretechnologie Ltd</t>
  </si>
  <si>
    <t>625206</t>
  </si>
  <si>
    <t>Cybersec Oy</t>
  </si>
  <si>
    <t>652735</t>
  </si>
  <si>
    <t>Dataexpress OÜ</t>
  </si>
  <si>
    <t>387478</t>
  </si>
  <si>
    <t>Eduhouse Oy</t>
  </si>
  <si>
    <t>349909</t>
  </si>
  <si>
    <t>EHEDG Secretariat</t>
  </si>
  <si>
    <t>627934</t>
  </si>
  <si>
    <t>Euronext Corporate Solutions Finland Oy</t>
  </si>
  <si>
    <t>634033</t>
  </si>
  <si>
    <t>European Technology Platform (ETP)</t>
  </si>
  <si>
    <t>656229</t>
  </si>
  <si>
    <t>Figapo Oy</t>
  </si>
  <si>
    <t>639979</t>
  </si>
  <si>
    <t>Findest</t>
  </si>
  <si>
    <t>662414</t>
  </si>
  <si>
    <t>Flow2Work Oy</t>
  </si>
  <si>
    <t>662923</t>
  </si>
  <si>
    <t>Gowling WLG (UK) LLP</t>
  </si>
  <si>
    <t>670258</t>
  </si>
  <si>
    <t>Hämeen ammattikorkeakoulu Oy</t>
  </si>
  <si>
    <t>643001</t>
  </si>
  <si>
    <t>Hanken &amp; SSE Executive Education Ab</t>
  </si>
  <si>
    <t>288703</t>
  </si>
  <si>
    <t>Helsingin Yliopisto</t>
  </si>
  <si>
    <t>351494</t>
  </si>
  <si>
    <t>Hengeler Mueller Partnerschaft von Rechtsanwälten</t>
  </si>
  <si>
    <t>258995</t>
  </si>
  <si>
    <t>Hexagon Metrology GmbH</t>
  </si>
  <si>
    <t>611783</t>
  </si>
  <si>
    <t>Houston Inc. Consulting Oy</t>
  </si>
  <si>
    <t>627898</t>
  </si>
  <si>
    <t>HR Legal Services Oy</t>
  </si>
  <si>
    <t>665454</t>
  </si>
  <si>
    <t>HSE-MAN Oy</t>
  </si>
  <si>
    <t>650315</t>
  </si>
  <si>
    <t>Immuno Diagnostic Oy</t>
  </si>
  <si>
    <t>375389</t>
  </si>
  <si>
    <t>International Air Transport Association</t>
  </si>
  <si>
    <t>168998</t>
  </si>
  <si>
    <t>Intrum Sverige AB</t>
  </si>
  <si>
    <t>221881</t>
  </si>
  <si>
    <t>Itä-Suomen Yliopisto</t>
  </si>
  <si>
    <t>291786</t>
  </si>
  <si>
    <t>Jeespap ja Puu Oy</t>
  </si>
  <si>
    <t>620916</t>
  </si>
  <si>
    <t>383668</t>
  </si>
  <si>
    <t>Jouni Kinni OY</t>
  </si>
  <si>
    <t>670135</t>
  </si>
  <si>
    <t>Ju-Ha Consulting Oy</t>
  </si>
  <si>
    <t>662275</t>
  </si>
  <si>
    <t>Jyväskylän Yliopisto</t>
  </si>
  <si>
    <t>224515</t>
  </si>
  <si>
    <t>Kaakkois-Suomen Ammattikorkeakoulu Oy</t>
  </si>
  <si>
    <t>623267</t>
  </si>
  <si>
    <t>Kauttuan Laitosturvallisuus Oy</t>
  </si>
  <si>
    <t>657254</t>
  </si>
  <si>
    <t>Kemesta ry</t>
  </si>
  <si>
    <t>641465</t>
  </si>
  <si>
    <t>Keski-Suomen Martat ry</t>
  </si>
  <si>
    <t>310147</t>
  </si>
  <si>
    <t>King &amp; Wood Mallesons Rechtsanwaltsgesellschaft mbH</t>
  </si>
  <si>
    <t>665944</t>
  </si>
  <si>
    <t>KingswaySoft</t>
  </si>
  <si>
    <t>649028</t>
  </si>
  <si>
    <t>KjV-Palvelut</t>
  </si>
  <si>
    <t>633686</t>
  </si>
  <si>
    <t>Koneturva Oy</t>
  </si>
  <si>
    <t>628250</t>
  </si>
  <si>
    <t>Korean Register of Shipping</t>
  </si>
  <si>
    <t>258441</t>
  </si>
  <si>
    <t>Korn Ferry (FI) Oy</t>
  </si>
  <si>
    <t>645425</t>
  </si>
  <si>
    <t>Koulutuspalvelu sahkot.fi</t>
  </si>
  <si>
    <t>641539</t>
  </si>
  <si>
    <t>Koulutustiimi ViisiPäivää Ky</t>
  </si>
  <si>
    <t>621769</t>
  </si>
  <si>
    <t>KPMG Advisory</t>
  </si>
  <si>
    <t>637292</t>
  </si>
  <si>
    <t>KPMG Tax M. Michna sp.k.</t>
  </si>
  <si>
    <t>639615</t>
  </si>
  <si>
    <t>Kuikka Partners Oy</t>
  </si>
  <si>
    <t>668547</t>
  </si>
  <si>
    <t>294985</t>
  </si>
  <si>
    <t>Law Firm Pajtak &amp; Delija LLC</t>
  </si>
  <si>
    <t>664824</t>
  </si>
  <si>
    <t>Lean Thinking Oy</t>
  </si>
  <si>
    <t>664921</t>
  </si>
  <si>
    <t>Lex Orbis Consulting Pvt.Ltd.</t>
  </si>
  <si>
    <t>631367</t>
  </si>
  <si>
    <t>MagnumLive Oy</t>
  </si>
  <si>
    <t>630000</t>
  </si>
  <si>
    <t>Mandatum Life Palvelut Oy</t>
  </si>
  <si>
    <t>652725</t>
  </si>
  <si>
    <t>ManpowerGroup Solutions Oy</t>
  </si>
  <si>
    <t>649088</t>
  </si>
  <si>
    <t>Masimatic Oy</t>
  </si>
  <si>
    <t>654767</t>
  </si>
  <si>
    <t>MEPS (International) Ltd.</t>
  </si>
  <si>
    <t>278875</t>
  </si>
  <si>
    <t>Mercell CTM AB</t>
  </si>
  <si>
    <t>639645</t>
  </si>
  <si>
    <t>NDT Kotka Oy</t>
  </si>
  <si>
    <t>333335</t>
  </si>
  <si>
    <t>Nippon Kaiji Kyokai (Netherlands) B.V.</t>
  </si>
  <si>
    <t>641680</t>
  </si>
  <si>
    <t>No Drama Oy</t>
  </si>
  <si>
    <t>656563</t>
  </si>
  <si>
    <t>Nordea Bank Ab (Publ)</t>
  </si>
  <si>
    <t>261168</t>
  </si>
  <si>
    <t>Norian Accounting OY</t>
  </si>
  <si>
    <t>639468</t>
  </si>
  <si>
    <t>North Carolina State University</t>
  </si>
  <si>
    <t>601852</t>
  </si>
  <si>
    <t>Notare am Ballindamm</t>
  </si>
  <si>
    <t>667012</t>
  </si>
  <si>
    <t>NTI Sweden AB</t>
  </si>
  <si>
    <t>658168</t>
  </si>
  <si>
    <t>Oljamikoti Oy</t>
  </si>
  <si>
    <t>655289</t>
  </si>
  <si>
    <t>Opiks-Tiimi Oy</t>
  </si>
  <si>
    <t>224444</t>
  </si>
  <si>
    <t>Oy Bothnia Service Ab</t>
  </si>
  <si>
    <t>656103</t>
  </si>
  <si>
    <t>Pal Lokendra</t>
  </si>
  <si>
    <t>622308</t>
  </si>
  <si>
    <t>Palo- Ja Pelastustieto Ry</t>
  </si>
  <si>
    <t>507697</t>
  </si>
  <si>
    <t>Performance Island Oy</t>
  </si>
  <si>
    <t>649364</t>
  </si>
  <si>
    <t>Pillsbury Winthrop Shaw Pittman LLP</t>
  </si>
  <si>
    <t>271308</t>
  </si>
  <si>
    <t>PreScouter, Inc</t>
  </si>
  <si>
    <t>646522</t>
  </si>
  <si>
    <t>Presidents Institute A/S, Suomen sivuliike</t>
  </si>
  <si>
    <t>641207</t>
  </si>
  <si>
    <t>Primaonline Oy</t>
  </si>
  <si>
    <t>641093</t>
  </si>
  <si>
    <t>Prismarit Oy</t>
  </si>
  <si>
    <t>341722</t>
  </si>
  <si>
    <t>Privaon Oy</t>
  </si>
  <si>
    <t>654759</t>
  </si>
  <si>
    <t>Pro Opus Oy</t>
  </si>
  <si>
    <t>666115</t>
  </si>
  <si>
    <t>Promolior Oy</t>
  </si>
  <si>
    <t>649221</t>
  </si>
  <si>
    <t>Qualtrics Inc, LLC</t>
  </si>
  <si>
    <t>639336</t>
  </si>
  <si>
    <t>QY RESEARCH, INC.</t>
  </si>
  <si>
    <t>669704</t>
  </si>
  <si>
    <t>Ramboll (Shanghai) Co., Ltd</t>
  </si>
  <si>
    <t>635756</t>
  </si>
  <si>
    <t>Ramboll Italy S.r.l.</t>
  </si>
  <si>
    <t>666976</t>
  </si>
  <si>
    <t>Ratekoulutus Oy</t>
  </si>
  <si>
    <t>351748</t>
  </si>
  <si>
    <t>RedLore Canada Inc</t>
  </si>
  <si>
    <t>646140</t>
  </si>
  <si>
    <t>Rentouch GmbH</t>
  </si>
  <si>
    <t>641621</t>
  </si>
  <si>
    <t>Rich Success Enterprise (China) Limited</t>
  </si>
  <si>
    <t>652221</t>
  </si>
  <si>
    <t>Risknowlogy GmbH</t>
  </si>
  <si>
    <t>304654</t>
  </si>
  <si>
    <t>RoHS Management Oy</t>
  </si>
  <si>
    <t>661653</t>
  </si>
  <si>
    <t>Ryan Finland Oy</t>
  </si>
  <si>
    <t>664884</t>
  </si>
  <si>
    <t>Safeguard Engineering Oy</t>
  </si>
  <si>
    <t>656961</t>
  </si>
  <si>
    <t>Safety First</t>
  </si>
  <si>
    <t>663583</t>
  </si>
  <si>
    <t>Satakunnan Monikulttuuriyhdistys ry</t>
  </si>
  <si>
    <t>646402</t>
  </si>
  <si>
    <t>Sec And Safe Solutions Oy</t>
  </si>
  <si>
    <t>668449</t>
  </si>
  <si>
    <t>Sepon Konttori</t>
  </si>
  <si>
    <t>384798</t>
  </si>
  <si>
    <t>SGS Nederland B.V.</t>
  </si>
  <si>
    <t>658054</t>
  </si>
  <si>
    <t>SOCOTEC ASBL</t>
  </si>
  <si>
    <t>667729</t>
  </si>
  <si>
    <t>Speedgoat GmbH</t>
  </si>
  <si>
    <t>652631</t>
  </si>
  <si>
    <t>Spinverse Oy</t>
  </si>
  <si>
    <t>260075</t>
  </si>
  <si>
    <t>STRIPF Project Solutions GmbH</t>
  </si>
  <si>
    <t>387012</t>
  </si>
  <si>
    <t>Suomen Punainen Risti Varsinais-Suomen piiri</t>
  </si>
  <si>
    <t>612001</t>
  </si>
  <si>
    <t>Sutuas Oy</t>
  </si>
  <si>
    <t>638744</t>
  </si>
  <si>
    <t>Suunnitelukymppi Oy</t>
  </si>
  <si>
    <t>403676</t>
  </si>
  <si>
    <t>Svenska Bioenergiföreningens Service AB</t>
  </si>
  <si>
    <t>275896</t>
  </si>
  <si>
    <t>Tagetik Nordic AB</t>
  </si>
  <si>
    <t>624679</t>
  </si>
  <si>
    <t>Tampereen Sammutin osakeyhtiö</t>
  </si>
  <si>
    <t>637584</t>
  </si>
  <si>
    <t>TAPPI Inc.</t>
  </si>
  <si>
    <t>503768</t>
  </si>
  <si>
    <t>Taylor Advisory, LLC</t>
  </si>
  <si>
    <t>634871</t>
  </si>
  <si>
    <t>TES-toimi Oy</t>
  </si>
  <si>
    <t>380922</t>
  </si>
  <si>
    <t>The European Institute of Purchasing Management</t>
  </si>
  <si>
    <t>239503</t>
  </si>
  <si>
    <t>Tietojärjestelmien Tarkastus Ja Valvonta Ry</t>
  </si>
  <si>
    <t>168488</t>
  </si>
  <si>
    <t>TJO ry/Helsingin aikuisopisto</t>
  </si>
  <si>
    <t>667900</t>
  </si>
  <si>
    <t>TrainingStorm Oy</t>
  </si>
  <si>
    <t>665318</t>
  </si>
  <si>
    <t>Työhyvinvointi Tienhaara Oy</t>
  </si>
  <si>
    <t>664475</t>
  </si>
  <si>
    <t>Universum Communic. Sweden Aktieb. Finland Filial</t>
  </si>
  <si>
    <t>339289</t>
  </si>
  <si>
    <t>VAAOkoulutus Oy</t>
  </si>
  <si>
    <t>404346</t>
  </si>
  <si>
    <t>Vehmasputki Oy</t>
  </si>
  <si>
    <t>664414</t>
  </si>
  <si>
    <t>Viktor Wieser</t>
  </si>
  <si>
    <t>657422</t>
  </si>
  <si>
    <t>VVUÚ, a.s.</t>
  </si>
  <si>
    <t>384909</t>
  </si>
  <si>
    <t>Wärtsilä Corporation</t>
  </si>
  <si>
    <t>239840</t>
  </si>
  <si>
    <t>Wendelstein Rechtsanwälte PartGmbH</t>
  </si>
  <si>
    <t>644412</t>
  </si>
  <si>
    <t>Wood Mackenzie</t>
  </si>
  <si>
    <t>651255</t>
  </si>
  <si>
    <t>Workiva Netherlands B.V.</t>
  </si>
  <si>
    <t>637610</t>
  </si>
  <si>
    <t>Y3 Milestone Coaching &amp; Consulting Oy Ltd</t>
  </si>
  <si>
    <t>617031</t>
  </si>
  <si>
    <t>Yana Industrial Limited</t>
  </si>
  <si>
    <t>652462</t>
  </si>
  <si>
    <t>Applied filters:
Year is 2023
Country Description is Finland
Business Partner Main Sub Category Description is IPIT07 - IT consulting, IPPE06 - Training &amp; people development, IPPE07 - Leased workforce, IPPS02 - Business consulting, IPPS04 - Legal services, IPPS05 - Patent services, IPPS06 - Certification, standardization &amp; audits, IPPS07 - R&amp;D services &amp; materials, or IPPS01 - Testing, measurement &amp; inspection
Invoice Status Description is Completed
Business Partner Main Category Family Description is IP - Indirect procurement iPRO
View is Periodic
Currency Type Name is Reporting Currency or N/A
Business Partner Internal/External is External</t>
  </si>
  <si>
    <t>Supplier code</t>
  </si>
  <si>
    <t>Training supplier Y/N</t>
  </si>
  <si>
    <t>EXAMPLES: Pricing / day  / trainer EUR (if no data: average based on invoicing)</t>
  </si>
  <si>
    <t xml:space="preserve">Country </t>
  </si>
  <si>
    <t xml:space="preserve">Delivery country </t>
  </si>
  <si>
    <t>Contract available at the moment</t>
  </si>
  <si>
    <t>Classification</t>
  </si>
  <si>
    <t>Nature of the service</t>
  </si>
  <si>
    <t xml:space="preserve">Training area </t>
  </si>
  <si>
    <t>HSE training provider</t>
  </si>
  <si>
    <t>Valmet contact person (CoMPass)</t>
  </si>
  <si>
    <t>Catalog in Basware Shop</t>
  </si>
  <si>
    <t>Preferred supplier in CoMPass (Mikko)</t>
  </si>
  <si>
    <t>Y</t>
  </si>
  <si>
    <t>Finland</t>
  </si>
  <si>
    <t>Global</t>
  </si>
  <si>
    <t>A</t>
  </si>
  <si>
    <t>Business culture and language training</t>
  </si>
  <si>
    <t xml:space="preserve">language training </t>
  </si>
  <si>
    <t>Tuija Korpela</t>
  </si>
  <si>
    <t>y</t>
  </si>
  <si>
    <t>no detailed info</t>
  </si>
  <si>
    <t>Global training programs</t>
  </si>
  <si>
    <t>Global training programs / Forward</t>
  </si>
  <si>
    <t>Tuija Korpela, Hanna Heikkilä</t>
  </si>
  <si>
    <t>Leadership, management and team development</t>
  </si>
  <si>
    <t>World Class Supply chain, Global leader, First time manager, CSRD &amp; sustainability reporting, MBA</t>
  </si>
  <si>
    <t>Tuija Korpela, Riikka Happonen</t>
  </si>
  <si>
    <t>Coaching and work counseling</t>
  </si>
  <si>
    <t>Group coaching new managers, coaching, manager as career coach training</t>
  </si>
  <si>
    <t>Hanken EMBA programme fees</t>
  </si>
  <si>
    <t>Jussi Mäntyniemi</t>
  </si>
  <si>
    <t xml:space="preserve">HSE, quality and work wellbeing </t>
  </si>
  <si>
    <t>Leading through lean</t>
  </si>
  <si>
    <t>Meri-Tuuli Sipari</t>
  </si>
  <si>
    <t>N</t>
  </si>
  <si>
    <t>Finland / EMEA</t>
  </si>
  <si>
    <t>Work psychologist services most part, Manager guidance</t>
  </si>
  <si>
    <t>Tuija Korpela, Anne Onkila</t>
  </si>
  <si>
    <t>Interaction/ presentation/ communication/ influencing</t>
  </si>
  <si>
    <t>Peili -trainings</t>
  </si>
  <si>
    <t xml:space="preserve"> Reijo Heinämäki</t>
  </si>
  <si>
    <t xml:space="preserve">Work counselling of a new manager </t>
  </si>
  <si>
    <t>Tuija Korpela, Eero Halmari</t>
  </si>
  <si>
    <t>Product, service or technology trainings</t>
  </si>
  <si>
    <t>Valmet Process Technology School training</t>
  </si>
  <si>
    <t>Reijo Heinämäki</t>
  </si>
  <si>
    <t xml:space="preserve">Global </t>
  </si>
  <si>
    <t>Valmet Process Technology School</t>
  </si>
  <si>
    <t>Jutta Rouru</t>
  </si>
  <si>
    <t>Eero Halmari</t>
  </si>
  <si>
    <t>Leadership, management and team development, project management</t>
  </si>
  <si>
    <t>PMIQ, Agile &amp; scrum, PMI Authorized PMP</t>
  </si>
  <si>
    <t>Champions in Services</t>
  </si>
  <si>
    <t>Riikka Happonen</t>
  </si>
  <si>
    <t>Enhanced IP 2023 project</t>
  </si>
  <si>
    <t>EMEA</t>
  </si>
  <si>
    <t>Training site leaders, co-operation development process, leadership team development process 360, Coaching training for managers</t>
  </si>
  <si>
    <t>B</t>
  </si>
  <si>
    <t>Interaction training</t>
  </si>
  <si>
    <t>Tuomo Linnaranta</t>
  </si>
  <si>
    <t>Global moblity related trainings, for expatriates etc,</t>
  </si>
  <si>
    <t>Riikka Hermunen</t>
  </si>
  <si>
    <t>Technical training</t>
  </si>
  <si>
    <t>Jyri Palmu</t>
  </si>
  <si>
    <t>Under negotiation</t>
  </si>
  <si>
    <t>Various/other skills</t>
  </si>
  <si>
    <r>
      <rPr>
        <b/>
        <sz val="11"/>
        <rFont val="Calibri"/>
        <family val="2"/>
      </rPr>
      <t>User licenses</t>
    </r>
    <r>
      <rPr>
        <sz val="11"/>
        <rFont val="Calibri"/>
        <family val="2"/>
      </rPr>
      <t xml:space="preserve"> and brand visibility, few export trainings, Koulutus-Online platform</t>
    </r>
  </si>
  <si>
    <t>Ari Leppäniemi</t>
  </si>
  <si>
    <t xml:space="preserve">Participation in training program: Industry 4.0 and automation; Outplacement services </t>
  </si>
  <si>
    <t xml:space="preserve">Petra Miesmaa </t>
  </si>
  <si>
    <t>TBC licence, fees for late cancellation of event participation</t>
  </si>
  <si>
    <t>Jenni Siivonen</t>
  </si>
  <si>
    <t>E-learning services, Co-operation agreement 3 years finance and business law students, Equiqment calibration, another co-operation agreement with student union</t>
  </si>
  <si>
    <t xml:space="preserve">Finland </t>
  </si>
  <si>
    <t>Elearnings and digital learning solutions</t>
  </si>
  <si>
    <t>Builder user license monthly, project work related to e-learning courses</t>
  </si>
  <si>
    <t>Leadership, management and team development; HSE, quality and work wellbeing</t>
  </si>
  <si>
    <t>Management team development, work guidance for managers, team development, Discovery insights , workshops</t>
  </si>
  <si>
    <t>Can't access information</t>
  </si>
  <si>
    <t>Niklas Nylund</t>
  </si>
  <si>
    <t>Finland / Global</t>
  </si>
  <si>
    <t>Printing costs for masters thesis</t>
  </si>
  <si>
    <t>Miia Lompolo</t>
  </si>
  <si>
    <r>
      <t>Services: Insight Profiles for IT Leap (</t>
    </r>
    <r>
      <rPr>
        <b/>
        <sz val="11"/>
        <rFont val="Calibri"/>
        <family val="2"/>
      </rPr>
      <t>Team development assessments</t>
    </r>
    <r>
      <rPr>
        <sz val="11"/>
        <rFont val="Calibri"/>
        <family val="2"/>
      </rPr>
      <t>)</t>
    </r>
  </si>
  <si>
    <t>NBF Remote license</t>
  </si>
  <si>
    <t>Mika Tapiola</t>
  </si>
  <si>
    <t>NextGenMix-project</t>
  </si>
  <si>
    <t>Reijo Pietikäinen</t>
  </si>
  <si>
    <t>Karri Kivi, tyhy-speaker</t>
  </si>
  <si>
    <t xml:space="preserve">SUSBINCO project </t>
  </si>
  <si>
    <t>Annika Ahlfors</t>
  </si>
  <si>
    <t>Metsästä energiaksi - MENER project funding 2023, EMC-testing</t>
  </si>
  <si>
    <t>Susanna Glad</t>
  </si>
  <si>
    <t>Turbomachinery course</t>
  </si>
  <si>
    <t>Sylvia Malenstein</t>
  </si>
  <si>
    <t>Not found</t>
  </si>
  <si>
    <t xml:space="preserve">coaching </t>
  </si>
  <si>
    <t>Leila Figueiredo =&gt; Eero Halmari</t>
  </si>
  <si>
    <t>Forward through change training; https://www.imaction.fi/</t>
  </si>
  <si>
    <t>Mari Poikonen</t>
  </si>
  <si>
    <t>Finance trainings</t>
  </si>
  <si>
    <r>
      <t>Bill Zervas =&gt;</t>
    </r>
    <r>
      <rPr>
        <sz val="11"/>
        <color rgb="FFFF0000"/>
        <rFont val="Calibri"/>
        <family val="2"/>
      </rPr>
      <t xml:space="preserve"> Reijo Heinämäki</t>
    </r>
  </si>
  <si>
    <t>Participation EIPM Peter Kraljic Awards 2023</t>
  </si>
  <si>
    <t>Jani Suomalainen</t>
  </si>
  <si>
    <t>C</t>
  </si>
  <si>
    <t>Tuomas Himanka</t>
  </si>
  <si>
    <t>Coaching and work counselling</t>
  </si>
  <si>
    <t>Leadership trainings, coaching, (Onnistuva johtaja -development process)</t>
  </si>
  <si>
    <t>Kimmo Pitkänen</t>
  </si>
  <si>
    <t>German language training 30 lessons</t>
  </si>
  <si>
    <t>Jussi Ranta</t>
  </si>
  <si>
    <t>Social media content creation using ChatGPT; "25.10.2023 Somen sisällöntuotanto ChatGPT:llä, osallistuja: Mirkka Aarti"</t>
  </si>
  <si>
    <t xml:space="preserve">Logistics transformation journey, GFO Growth journey, other assignments </t>
  </si>
  <si>
    <t>Satu Pennanen</t>
  </si>
  <si>
    <t>coaching &amp; headhunting</t>
  </si>
  <si>
    <t>Outi Meroma</t>
  </si>
  <si>
    <t>German language training</t>
  </si>
  <si>
    <t>Jouko Latva-Somppi</t>
  </si>
  <si>
    <t>Resilience as a resource webinar rights</t>
  </si>
  <si>
    <t>Eeva Lapila</t>
  </si>
  <si>
    <t>EMEA / Global</t>
  </si>
  <si>
    <t>RCA training, work guidance</t>
  </si>
  <si>
    <t>Finnish language training</t>
  </si>
  <si>
    <t>Olli Koivumäki</t>
  </si>
  <si>
    <t>Excel &amp; ChatGPT training for Logistics: "Global Category Manager Jari Enberg, osallistuminen
Excel ja ChatGPT: hyödynnä nyt tekoälyä työssäsi (3 h)
15.11.2023
Zoom Webinar"</t>
  </si>
  <si>
    <t>Juha Riihimäki</t>
  </si>
  <si>
    <t>x</t>
  </si>
  <si>
    <t>Sonja Montonen</t>
  </si>
  <si>
    <t xml:space="preserve">Coaching for sales </t>
  </si>
  <si>
    <t>Mari Joensuu</t>
  </si>
  <si>
    <t>Coaching event</t>
  </si>
  <si>
    <t>Riikka Nurmi</t>
  </si>
  <si>
    <t>TYHY -event, worker well-being</t>
  </si>
  <si>
    <t>Krista Laukkanen</t>
  </si>
  <si>
    <t>Jari Juhani Manninen</t>
  </si>
  <si>
    <t xml:space="preserve">Coaching </t>
  </si>
  <si>
    <t>Customs training: Yritykesi tulliasiat kuntoon muuttuvassa maailmassa, Työnantajan velvoitteet työntekijän työkyvyn alentuessa</t>
  </si>
  <si>
    <t>Minna Talasaho</t>
  </si>
  <si>
    <t xml:space="preserve">ST-online versions, SFS-handbook, electrical permits and qualification annual fee for database </t>
  </si>
  <si>
    <t>Kari Leppänen</t>
  </si>
  <si>
    <t>Minitab- annual user license 18 persons , Factory Physics training</t>
  </si>
  <si>
    <t>Juuso Maskonen</t>
  </si>
  <si>
    <t>Machine safety training</t>
  </si>
  <si>
    <t>Ulla Ravattinen</t>
  </si>
  <si>
    <t>ISO 9001 auditing training</t>
  </si>
  <si>
    <t>Mika Granlund</t>
  </si>
  <si>
    <t>Radiation safety office training</t>
  </si>
  <si>
    <t>Reijo Heikura</t>
  </si>
  <si>
    <t>Work safety, first aid, fire work safety</t>
  </si>
  <si>
    <t>Sauli Seikkula</t>
  </si>
  <si>
    <t>SIL Verification and calculation workshop, functional safety consulting</t>
  </si>
  <si>
    <t>Marja-Liisa Ajo</t>
  </si>
  <si>
    <t>HSE trainings</t>
  </si>
  <si>
    <t>Toni Sairanen</t>
  </si>
  <si>
    <t xml:space="preserve">Trainings related to liquefied petroleum gas </t>
  </si>
  <si>
    <t>Ulla-Maija Olkinuora</t>
  </si>
  <si>
    <t>First aid training</t>
  </si>
  <si>
    <t>Kari Rantama</t>
  </si>
  <si>
    <t>Jussi Salonkari</t>
  </si>
  <si>
    <t>HSE</t>
  </si>
  <si>
    <t>HSE - putoamissuojauskoulutus</t>
  </si>
  <si>
    <t>Annina Salmi</t>
  </si>
  <si>
    <t>Fire extinguisher inspection and new extinguishers</t>
  </si>
  <si>
    <t>Matti J Saarinen</t>
  </si>
  <si>
    <t>CISA-certification training</t>
  </si>
  <si>
    <t>Jukka Ylijoki</t>
  </si>
  <si>
    <t>EU machine directive training</t>
  </si>
  <si>
    <t>Mikko Rautiainen</t>
  </si>
  <si>
    <t>hot work training</t>
  </si>
  <si>
    <t>Eero Määttä</t>
  </si>
  <si>
    <t>Hot work license</t>
  </si>
  <si>
    <t>Kari Hytönen</t>
  </si>
  <si>
    <t>Fire safety training</t>
  </si>
  <si>
    <t>Vesa Huhtanen</t>
  </si>
  <si>
    <t>Fire extinguishing training</t>
  </si>
  <si>
    <t>Tuomas Etula</t>
  </si>
  <si>
    <t>Occupational safety card training</t>
  </si>
  <si>
    <t>Niko Pietikäinen</t>
  </si>
  <si>
    <t>Emergency first aid course, fire distinguishing course</t>
  </si>
  <si>
    <t>Max Jansson</t>
  </si>
  <si>
    <t>Toni Wathen</t>
  </si>
  <si>
    <t>Fire work safety training</t>
  </si>
  <si>
    <t>Civil protection specialist training</t>
  </si>
  <si>
    <t>Noomi Stenberg</t>
  </si>
  <si>
    <t>Electric work safety course SFS 6002</t>
  </si>
  <si>
    <t>Marko Saarinen</t>
  </si>
  <si>
    <t>Heidi Romppainen</t>
  </si>
  <si>
    <t>Juho Särkijärvi</t>
  </si>
  <si>
    <t>Emergency first aid training</t>
  </si>
  <si>
    <t>Manu Kapiainen</t>
  </si>
  <si>
    <t>Mika Uusitalo</t>
  </si>
  <si>
    <t>Nenna Järvinen</t>
  </si>
  <si>
    <t>X</t>
  </si>
  <si>
    <t> </t>
  </si>
  <si>
    <t>HSE, quality and work wellbeing +J7:J10</t>
  </si>
  <si>
    <t>This sheet has illustrative detail on Training category suppliers that has been collected by category manager but is not available in supplier master fully</t>
  </si>
  <si>
    <t>Corporation</t>
  </si>
  <si>
    <t>Company</t>
  </si>
  <si>
    <t>Branch</t>
  </si>
  <si>
    <t>City (Street Address)</t>
  </si>
  <si>
    <t>Country/Region (Street Address)</t>
  </si>
  <si>
    <t>e-Mail</t>
  </si>
  <si>
    <t>Supplier Status</t>
  </si>
  <si>
    <t>Corporation Category</t>
  </si>
  <si>
    <t>Created</t>
  </si>
  <si>
    <t>Created By</t>
  </si>
  <si>
    <t>Company ID</t>
  </si>
  <si>
    <t>DUNS Code</t>
  </si>
  <si>
    <t>ValmetID</t>
  </si>
  <si>
    <t xml:space="preserve">Finland spend? </t>
  </si>
  <si>
    <t>Own ID</t>
  </si>
  <si>
    <t>Company VAT number</t>
  </si>
  <si>
    <t>Preferred Supplier</t>
  </si>
  <si>
    <t>Purchase orders last three years</t>
  </si>
  <si>
    <t>Invoices last three years</t>
  </si>
  <si>
    <t>Supplier Categories</t>
  </si>
  <si>
    <t>Supplier Main Category</t>
  </si>
  <si>
    <t>Supplier Main Contact</t>
  </si>
  <si>
    <t>Supplier Main Contact eMail</t>
  </si>
  <si>
    <t>Terms Of Payment</t>
  </si>
  <si>
    <t>Valmet Supplier Code of Conduct signed</t>
  </si>
  <si>
    <t>Supplier sustainability policy signed</t>
  </si>
  <si>
    <t>Valmet Supplier Manager</t>
  </si>
  <si>
    <t>PAP Supplier Manager</t>
  </si>
  <si>
    <t>P&amp;E Supplier Manager</t>
  </si>
  <si>
    <t>SER Supplier Manager</t>
  </si>
  <si>
    <t>AS Supplier Manager</t>
  </si>
  <si>
    <t>FC Supplier Manager</t>
  </si>
  <si>
    <t>Buyer</t>
  </si>
  <si>
    <t>Category Manager</t>
  </si>
  <si>
    <t>Latest Approval</t>
  </si>
  <si>
    <t>Is supplier engaged to Valmet climate program?</t>
  </si>
  <si>
    <t>MillID</t>
  </si>
  <si>
    <t>Capgemini Group</t>
  </si>
  <si>
    <t>HELSINKI</t>
  </si>
  <si>
    <t/>
  </si>
  <si>
    <t>Active</t>
  </si>
  <si>
    <t>C3</t>
  </si>
  <si>
    <t>Järvenpää Anssi</t>
  </si>
  <si>
    <t>289334</t>
  </si>
  <si>
    <t>FI16281425</t>
  </si>
  <si>
    <t>Indirect procurement iPRO, Office IT, Application management, IT consulting;Indirect procurement iPRO, Office IT, Application management, IT consulting, Other IT</t>
  </si>
  <si>
    <t>Indirect procurement iPRO, Office IT, Application management, IT consulting</t>
  </si>
  <si>
    <t>Aripirala Srikanth</t>
  </si>
  <si>
    <t>aripirala.srikanth@capgemini.com</t>
  </si>
  <si>
    <t>Net 45 days</t>
  </si>
  <si>
    <t>Liukkonen Marko;Tapiola Mika;INACTIVE Länsimies Jukka;Jurvanen Juho</t>
  </si>
  <si>
    <t>2023-06-28 1001 - Infor LN (COF) (Valmet), Indirect procurement iPRO, Office IT, Application management, IT consulting (Main category) accepted by Tapiola Mika</t>
  </si>
  <si>
    <t>Know IT</t>
  </si>
  <si>
    <t>TAMPERE</t>
  </si>
  <si>
    <t>INACTIVE Kauppinen Ville</t>
  </si>
  <si>
    <t>302922</t>
  </si>
  <si>
    <t>FI30945961</t>
  </si>
  <si>
    <t>Indirect procurement iPRO, Office IT, Application management, IT consulting;Services, ICT engineering, ICT engineering</t>
  </si>
  <si>
    <t>Myllyoja Janne</t>
  </si>
  <si>
    <t>janne.myllyoja@knowit.fi</t>
  </si>
  <si>
    <t>Net 60 days</t>
  </si>
  <si>
    <t>Burmeister Jari;Liukkonen Marko;Tapiola Mika</t>
  </si>
  <si>
    <t>Pasanen Hannu</t>
  </si>
  <si>
    <t>Kuukkanen Markus;INACTIVE Nopanen Atte</t>
  </si>
  <si>
    <t>2025-07-02 TC_SAP_FPER_PORG_OAFP - Valmet Tissue Conv. S.p.A LUCCA (PAP), Indirect procurement iPRO, Office IT proposed by Pollastrini Raffaello</t>
  </si>
  <si>
    <t>237016</t>
  </si>
  <si>
    <t>FI19880693</t>
  </si>
  <si>
    <t>Indirect procurement iPRO, Office IT, IT consulting;Indirect procurement iPRO, Professional services;Services, R&amp;D engineering;Services, R&amp;D engineering, R&amp;D engineering</t>
  </si>
  <si>
    <t>Indirect procurement iPRO, Office IT, IT consulting</t>
  </si>
  <si>
    <t>Dudley Patrick</t>
  </si>
  <si>
    <t>patrck.dudley@twoday.com</t>
  </si>
  <si>
    <t>Net 30 days</t>
  </si>
  <si>
    <t>Tapiola Mika;Liukkonen Marko</t>
  </si>
  <si>
    <t>Luhanko Tuomo;Borel Xavier</t>
  </si>
  <si>
    <t>2023-09-12 1001 - Infor LN (AS), Services, R&amp;D engineering, R&amp;D engineering accepted by Kiema Miika</t>
  </si>
  <si>
    <t>322503</t>
  </si>
  <si>
    <t>ESPOO</t>
  </si>
  <si>
    <t>office@midagon.com</t>
  </si>
  <si>
    <t>236586</t>
  </si>
  <si>
    <t>FI20582343</t>
  </si>
  <si>
    <t>Indirect procurement iPRO, Office IT, IT consulting;Indirect procurement iPRO, Professional services, Business consulting</t>
  </si>
  <si>
    <t>Viitasalo Jussi</t>
  </si>
  <si>
    <t>jussi.viitasalo@midagon.com</t>
  </si>
  <si>
    <t>Snedsböl Truls;Liukkonen Marko</t>
  </si>
  <si>
    <t>2025-03-27 Basware - Basware purchasing (Valmet), Indirect procurement iPRO, Professional services, Business consulting accepted by Snedsböl Truls</t>
  </si>
  <si>
    <t>BANGALORE</t>
  </si>
  <si>
    <t>India</t>
  </si>
  <si>
    <t>144192</t>
  </si>
  <si>
    <t>Auvray Samuel</t>
  </si>
  <si>
    <t>samuel.auvray@wipro.com</t>
  </si>
  <si>
    <t>Tapiola Mika;INACTIVE Länsimies Jukka;Liukkonen Marko</t>
  </si>
  <si>
    <t>Deloitte</t>
  </si>
  <si>
    <t>80590</t>
  </si>
  <si>
    <t>FI09897715</t>
  </si>
  <si>
    <t>Indirect procurement iPRO, Professional services, Business consulting</t>
  </si>
  <si>
    <t>Huttu Essi</t>
  </si>
  <si>
    <t>Essi.Huttu@deloitte.fi</t>
  </si>
  <si>
    <t>INACTIVE Ajo Marja-Liisa</t>
  </si>
  <si>
    <t>Snedsböl Truls</t>
  </si>
  <si>
    <t>2025-05-29 1001 - Infor LN (COF) (Valmet), Indirect procurement iPRO, Professional services, Business consulting accepted by Snedsböl Truls</t>
  </si>
  <si>
    <t>AMSTERDAM</t>
  </si>
  <si>
    <t>Netherlands</t>
  </si>
  <si>
    <t>Toropainen Anita</t>
  </si>
  <si>
    <t>301945</t>
  </si>
  <si>
    <t>NL859338083B01</t>
  </si>
  <si>
    <t>Viitala Janne</t>
  </si>
  <si>
    <t>janne.viitala@snowflake.com</t>
  </si>
  <si>
    <t>2021-09-08 1001 - Infor LN (PAP), Indirect procurement iPRO, Office IT, IT consulting (Main category) accepted by Tapiola Mika</t>
  </si>
  <si>
    <t>LAUSANNE</t>
  </si>
  <si>
    <t>Switzerland</t>
  </si>
  <si>
    <t>228311</t>
  </si>
  <si>
    <t>CHE-106.448.807 MWST</t>
  </si>
  <si>
    <t>Indirect procurement iPRO, Personnel, Training &amp; people development</t>
  </si>
  <si>
    <t>Korpela Tuija</t>
  </si>
  <si>
    <t>Biisoni</t>
  </si>
  <si>
    <t>info@biisoni.fi</t>
  </si>
  <si>
    <t>194030</t>
  </si>
  <si>
    <t>539784962</t>
  </si>
  <si>
    <t>FI20480777</t>
  </si>
  <si>
    <t>Indirect procurement iPRO, Personnel, Leased workforce</t>
  </si>
  <si>
    <t>Illi Jukka</t>
  </si>
  <si>
    <t>jukka.illi@biisoni.fi</t>
  </si>
  <si>
    <t>2025-02-04 FC - Infor M3 (FC) (FC), Valmet FC Finland Oy 310, Indirect procurement iPRO, Personnel, Leased workforce accepted by Korpela Tuija</t>
  </si>
  <si>
    <t>Dennemeyer</t>
  </si>
  <si>
    <t>HOWALD</t>
  </si>
  <si>
    <t>Luxembourg</t>
  </si>
  <si>
    <t>13858</t>
  </si>
  <si>
    <t>400450011</t>
  </si>
  <si>
    <t>LU12748436</t>
  </si>
  <si>
    <t>Indirect procurement iPRO, Professional services, Patent services</t>
  </si>
  <si>
    <t>Fleming Carlene</t>
  </si>
  <si>
    <t>cfleming@dennemeyer.com</t>
  </si>
  <si>
    <t>JYVÄSKYLÄ</t>
  </si>
  <si>
    <t>esa.kivijarvi@teec.fi</t>
  </si>
  <si>
    <t>223187</t>
  </si>
  <si>
    <t xml:space="preserve">FI25773106 </t>
  </si>
  <si>
    <t>Indirect procurement iPRO, Office IT, IT consulting;Services, Mechanical engineering</t>
  </si>
  <si>
    <t>Kivijärvi Esa</t>
  </si>
  <si>
    <t>Liukkonen Marko;Tapiola Mika</t>
  </si>
  <si>
    <t>116240</t>
  </si>
  <si>
    <t>FI19694727</t>
  </si>
  <si>
    <t>Hyppänen Sakari</t>
  </si>
  <si>
    <t>sakari.hyppanen@sofigate.com</t>
  </si>
  <si>
    <t>Tapiola Mika;Liukkonen Marko;INACTIVE Impersine Christopher</t>
  </si>
  <si>
    <t>10822</t>
  </si>
  <si>
    <t>401717137</t>
  </si>
  <si>
    <t>FI05925424</t>
  </si>
  <si>
    <t>Indirect procurement iPRO, Office IT, Application management;Indirect procurement iPRO, Office IT, Application management, IT consulting</t>
  </si>
  <si>
    <t>Tuomi Jaakko</t>
  </si>
  <si>
    <t>Jaakko.Tuomi@basware.com</t>
  </si>
  <si>
    <t>2024-12-19 Basware - Basware purchasing (Valmet), Indirect procurement iPRO, Office IT, Application management accepted by Tapiola Mika</t>
  </si>
  <si>
    <t>58113</t>
  </si>
  <si>
    <t>FI17496321</t>
  </si>
  <si>
    <t>Hietanen Tomi</t>
  </si>
  <si>
    <t>tomi.hietanen@bearingpoint.com</t>
  </si>
  <si>
    <t>INACTIVE Järvinen Janne;INACTIVE Markkanen Jaakko</t>
  </si>
  <si>
    <t>152723</t>
  </si>
  <si>
    <t>FI20960543</t>
  </si>
  <si>
    <t>Indirect procurement iPRO, Office IT, Software licenses, IT consulting</t>
  </si>
  <si>
    <t>Johansson Kim</t>
  </si>
  <si>
    <t>kim.johnsson@crayon.com</t>
  </si>
  <si>
    <t>Vasquez Francisco;Nurmi Riikka;Tapiola Mika;Liukkonen Marko</t>
  </si>
  <si>
    <t>2021-06-01 1001 - Infor LN (COF) (Valmet), Indirect procurement iPRO, Office IT, Software licenses, IT consulting (Main category) accepted by Liukkonen Marko</t>
  </si>
  <si>
    <t>Asianajotoimisto White &amp; Case Oy</t>
  </si>
  <si>
    <t>37767</t>
  </si>
  <si>
    <t>FI09078699</t>
  </si>
  <si>
    <t>Indirect procurement iPRO, Professional services, Legal services</t>
  </si>
  <si>
    <t>Pesonen Sevi</t>
  </si>
  <si>
    <t>s.pesonen@whitecase.com</t>
  </si>
  <si>
    <t>INACTIVE Lavonen Antti</t>
  </si>
  <si>
    <t>2021-04-20 1001 - Infor LN (PAP), Indirect procurement iPRO, Professional services, Legal services (Main category) accepted by Mäkelä Henri</t>
  </si>
  <si>
    <t>Adecco Group AG</t>
  </si>
  <si>
    <t>VANTAA</t>
  </si>
  <si>
    <t>adecco@adecco.fi</t>
  </si>
  <si>
    <t>137126</t>
  </si>
  <si>
    <t>651501934</t>
  </si>
  <si>
    <t>FI10424640</t>
  </si>
  <si>
    <t>Hänninen Henri</t>
  </si>
  <si>
    <t>henri.hanninen@adecco.fi</t>
  </si>
  <si>
    <t>Tamminen Jari</t>
  </si>
  <si>
    <t>2024-12-19 Workday - Workday Leased workforce (Valmet), Indirect procurement iPRO, Personnel, Leased workforce accepted by Korpela Tuija</t>
  </si>
  <si>
    <t>PLEASANTON</t>
  </si>
  <si>
    <t>United States</t>
  </si>
  <si>
    <t>INACTIVE Uusitalo Jukka</t>
  </si>
  <si>
    <t>291503</t>
  </si>
  <si>
    <t>Indirect procurement iPRO, Office IT, Software licenses, Application management, IT consulting</t>
  </si>
  <si>
    <t>Rogers Glyn</t>
  </si>
  <si>
    <t>glyn.rogers@servicemax.com</t>
  </si>
  <si>
    <t>2019-08-28 1001 - Infor LN (COF) (Valmet), Indirect procurement iPRO, Office IT, Software licenses, Application management, IT consulting (Main category) accepted by Tapiola Mika</t>
  </si>
  <si>
    <t>221482</t>
  </si>
  <si>
    <t>FI10786932</t>
  </si>
  <si>
    <t>Indirect procurement iPRO, Professional services, Business consulting;Indirect procurement iPRO, Taxes and charges, Other regulatory charges</t>
  </si>
  <si>
    <t>Kivimäki Tuomas</t>
  </si>
  <si>
    <t>tuomas.kivimaki@danskebank.com</t>
  </si>
  <si>
    <t>Net 14 days</t>
  </si>
  <si>
    <t>Aalto Janne;Savolainen Olli</t>
  </si>
  <si>
    <t>2024-05-30 FC - Infor M3 (FC) (FC), Valmet FC Finland Oy 310, Indirect procurement iPRO, Taxes and charges, Other regulatory charges accepted by Mäkelä Henri</t>
  </si>
  <si>
    <t>PriceWaterhouseCoopers LLP</t>
  </si>
  <si>
    <t>laskutus.kyselyt@fi.pwc.com</t>
  </si>
  <si>
    <t>28516</t>
  </si>
  <si>
    <t>368999884</t>
  </si>
  <si>
    <t>FI04864068</t>
  </si>
  <si>
    <t>Puukkoniemi Tiina</t>
  </si>
  <si>
    <t>Tiina.Puukkoniemi@pwc.com</t>
  </si>
  <si>
    <t>Net 7 days</t>
  </si>
  <si>
    <t>reskontra@finitec.fi</t>
  </si>
  <si>
    <t>230688</t>
  </si>
  <si>
    <t>FI24547254</t>
  </si>
  <si>
    <t>Indirect procurement iPRO, Professional services, Business consulting;Indirect procurement iPRO, Professional services, R&amp;D services &amp; materials;Services, Automation engineering, Automation engineering</t>
  </si>
  <si>
    <t>Martinsuo Teppo</t>
  </si>
  <si>
    <t>teppo.martinsuo@finitec.fi</t>
  </si>
  <si>
    <t>2023-02-28 FC - Infor M3 (FC) (FC), Indirect procurement iPRO, Professional services, R&amp;D services &amp; materials accepted by Kiema Miika</t>
  </si>
  <si>
    <t>295650</t>
  </si>
  <si>
    <t xml:space="preserve">Biisoni Tampere Oy </t>
  </si>
  <si>
    <t>INACTIVE Vakkuri Jarmo</t>
  </si>
  <si>
    <t>285890</t>
  </si>
  <si>
    <t xml:space="preserve">FI23981569 </t>
  </si>
  <si>
    <t>Indirect procurement iPRO, Personnel, Leased workforce;Services, Subcontracted production capacity, Workforce of subassemblies or assemblies</t>
  </si>
  <si>
    <t>2025-01-08 Basware - Basware purchasing (Valmet), Indirect procurement iPRO, Personnel, Leased workforce accepted by Korpela Tuija</t>
  </si>
  <si>
    <t>jyvaskyla@go-on.fi</t>
  </si>
  <si>
    <t>Hämäläinen Seppo J</t>
  </si>
  <si>
    <t>292621</t>
  </si>
  <si>
    <t>368667988</t>
  </si>
  <si>
    <t>FI29893586</t>
  </si>
  <si>
    <t xml:space="preserve">Salminen Kimmo </t>
  </si>
  <si>
    <t>kimmo.salminen@go-on.fi</t>
  </si>
  <si>
    <t>NEWCASTLE UPON TYNE</t>
  </si>
  <si>
    <t>United Kingdom</t>
  </si>
  <si>
    <t>Latini Luca</t>
  </si>
  <si>
    <t>303792</t>
  </si>
  <si>
    <t>GB164369978</t>
  </si>
  <si>
    <t>Nevin Matthew</t>
  </si>
  <si>
    <t>m.nevin@nigelfrank.com</t>
  </si>
  <si>
    <t>2022-02-03 1001 - Infor LN (COF) (Valmet), Indirect procurement iPRO, Professional services, Business consulting accepted by Mäkelä Henri</t>
  </si>
  <si>
    <t>229099</t>
  </si>
  <si>
    <t>FI26358991</t>
  </si>
  <si>
    <t>Kantanen Jukka</t>
  </si>
  <si>
    <t>jukka.kantanen@berggren.fi</t>
  </si>
  <si>
    <t>2024-08-12 FC - Infor M3 (FC) (FC), Valmet FC Finland Oy 310, Indirect procurement iPRO, Professional services, Patent services accepted by Snedsböl Truls</t>
  </si>
  <si>
    <t xml:space="preserve">ManpowerGroup Oy </t>
  </si>
  <si>
    <t>24042</t>
  </si>
  <si>
    <t>651884397</t>
  </si>
  <si>
    <t>FI10910323</t>
  </si>
  <si>
    <t>Karlsson Piia</t>
  </si>
  <si>
    <t>piia.karlsson@manpowergroup.fi</t>
  </si>
  <si>
    <t>KPMG International</t>
  </si>
  <si>
    <t>contact@kpmg.fi</t>
  </si>
  <si>
    <t>21976</t>
  </si>
  <si>
    <t>FI18054859</t>
  </si>
  <si>
    <t>Indirect procurement iPRO, Professional services, Business consulting;Indirect procurement iPRO, Professional services, Certification, standardization &amp; audits;Indirect procurement iPRO, Taxes and charges;Indirect procurement iPRO, Taxes and charges, Taxes;Services, Site management and services, Other expert services at site</t>
  </si>
  <si>
    <t>Tiitta Erkki</t>
  </si>
  <si>
    <t>erkki.tiitta@kpmg.fi</t>
  </si>
  <si>
    <t>Ruusuvaara Petri</t>
  </si>
  <si>
    <t>INACTIVE Mariana Erna</t>
  </si>
  <si>
    <t>Burmeister Jari;Snedsböl Truls</t>
  </si>
  <si>
    <t>2020-09-15 368 - Valmet (China) Co., Ltd. (SHA) (PAP), Indirect procurement iPRO, Professional services, Certification, standardization &amp; audits accepted by INACTIVE Su Yanjing</t>
  </si>
  <si>
    <t>249278</t>
  </si>
  <si>
    <t>FI26042663</t>
  </si>
  <si>
    <t>Seppänen Sami</t>
  </si>
  <si>
    <t>sami.seppanen@fluentscale.fi</t>
  </si>
  <si>
    <t>Rautiainen Mikko</t>
  </si>
  <si>
    <t>STOCKHOLM</t>
  </si>
  <si>
    <t>Sweden</t>
  </si>
  <si>
    <t>info@edwardlynx.com</t>
  </si>
  <si>
    <t>247559</t>
  </si>
  <si>
    <t>SE556546088701</t>
  </si>
  <si>
    <t>Indirect procurement iPRO, Personnel, Training &amp; people development;Indirect procurement iPRO, Professional services, Other business services</t>
  </si>
  <si>
    <t>Wretling Ola</t>
  </si>
  <si>
    <t>ola.wretling@edwardlynx.com</t>
  </si>
  <si>
    <t>2023-08-14 FC - Infor M3 (FC) (FC), Indirect procurement iPRO, Personnel, Training &amp; people development accepted by Mäkelä Henri</t>
  </si>
  <si>
    <t>ABERDEEN</t>
  </si>
  <si>
    <t>enquiries@saltireprojects.co.uk</t>
  </si>
  <si>
    <t>148491</t>
  </si>
  <si>
    <t>GB239300719</t>
  </si>
  <si>
    <t>Indirect procurement iPRO, Professional services, Business consulting;Indirect procurement iPRO, Professional services, Legal services</t>
  </si>
  <si>
    <t>Adams Keith</t>
  </si>
  <si>
    <t>keithadams@saltireprojects.co.uk</t>
  </si>
  <si>
    <t>Takala Arto</t>
  </si>
  <si>
    <t>2021-04-16 634 - Valmet Technologies, Inc FIB Pori (MP) (P&amp;E), Indirect procurement iPRO, Professional services, Legal services accepted by Mäkelä Henri</t>
  </si>
  <si>
    <t>163890</t>
  </si>
  <si>
    <t>FI07218117</t>
  </si>
  <si>
    <t>Relander Veera</t>
  </si>
  <si>
    <t>veera.relander@dnv.com</t>
  </si>
  <si>
    <t>Majaharju Matias;Tapiola Mika;Liukkonen Marko</t>
  </si>
  <si>
    <t>INACTIVE Rantalainen Lasse</t>
  </si>
  <si>
    <t>292910</t>
  </si>
  <si>
    <t>539828695</t>
  </si>
  <si>
    <t>FI24161239</t>
  </si>
  <si>
    <t>Nahi Sakari</t>
  </si>
  <si>
    <t>sakari.nahi@zure.com</t>
  </si>
  <si>
    <t>2024-11-28 Basware - Basware purchasing (Valmet), Indirect procurement iPRO, Office IT, IT consulting accepted by Tapiola Mika</t>
  </si>
  <si>
    <t>TUEBINGEN</t>
  </si>
  <si>
    <t>Germany</t>
  </si>
  <si>
    <t>298858</t>
  </si>
  <si>
    <t>DE203913579</t>
  </si>
  <si>
    <t>Hartwich Bianca</t>
  </si>
  <si>
    <t>bianca.hartwich@itdesign.de</t>
  </si>
  <si>
    <t>Liukkonen Marko</t>
  </si>
  <si>
    <t>2021-02-15 1001 - Infor LN (PAP), Indirect procurement iPRO, Office IT, IT consulting (Main category) accepted by Tapiola Mika</t>
  </si>
  <si>
    <t>GOTHENBURG</t>
  </si>
  <si>
    <t>mantec@mantec.eu</t>
  </si>
  <si>
    <t>Olsson Åke</t>
  </si>
  <si>
    <t>316166</t>
  </si>
  <si>
    <t>SE556717793501</t>
  </si>
  <si>
    <t xml:space="preserve">Johannission Håkan </t>
  </si>
  <si>
    <t>hakan.johannisson@mantec.eu</t>
  </si>
  <si>
    <t>2023-07-07 642 - SER (SWE) (SER), Indirect procurement iPRO, Professional services, Business consulting (Main category) accepted by Snedsböl Truls</t>
  </si>
  <si>
    <t>Digia</t>
  </si>
  <si>
    <t>digia.finland@bscs.basware.com</t>
  </si>
  <si>
    <t>87697</t>
  </si>
  <si>
    <t>FI10912484</t>
  </si>
  <si>
    <t>Indirect procurement iPRO, Office IT, Application management;Indirect procurement iPRO, Office IT, IT consulting</t>
  </si>
  <si>
    <t>Tumanoff Tommi</t>
  </si>
  <si>
    <t>tommi.tumanoff@digia.com</t>
  </si>
  <si>
    <t xml:space="preserve">Sweden Modular Management AB </t>
  </si>
  <si>
    <t>info@modularmanagement.com</t>
  </si>
  <si>
    <t>228153</t>
  </si>
  <si>
    <t>SE556982984801</t>
  </si>
  <si>
    <t>Indirect procurement iPRO, Professional services, R&amp;D services &amp; materials</t>
  </si>
  <si>
    <t>Berggren Peter</t>
  </si>
  <si>
    <t>peter.berggren@modularmanagement.com</t>
  </si>
  <si>
    <t>laskutus@sihti.fi</t>
  </si>
  <si>
    <t>231530</t>
  </si>
  <si>
    <t>651294964</t>
  </si>
  <si>
    <t>FI22425579</t>
  </si>
  <si>
    <t>Lindgren Joni</t>
  </si>
  <si>
    <t>joni.lindgren@sihti.fi</t>
  </si>
  <si>
    <t>Kuru Antti</t>
  </si>
  <si>
    <t>2024-11-05 Basware - Basware purchasing (Valmet), Indirect procurement iPRO, Personnel, Leased workforce accepted by Korpela Tuija</t>
  </si>
  <si>
    <t>Majaharju Matias</t>
  </si>
  <si>
    <t>284255</t>
  </si>
  <si>
    <t>FI27861337</t>
  </si>
  <si>
    <t>Indirect procurement iPRO, Office IT, Application management, IT consulting;Indirect procurement iPRO, Professional services, Other business services</t>
  </si>
  <si>
    <t>Heinola Matti</t>
  </si>
  <si>
    <t>matti.heinola@taitopilvi.fi</t>
  </si>
  <si>
    <t>Tapiola Mika;Liukkonen Marko;Majaharju Matias</t>
  </si>
  <si>
    <t>2017-11-01 639 - Valmet Technologies, Inc   PPP HO (MP) (Valmet), Indirect procurement iPRO, Professional services, Other business services accepted by Mäkelä Henri</t>
  </si>
  <si>
    <t>306128</t>
  </si>
  <si>
    <t>FI32049917</t>
  </si>
  <si>
    <t>Felixson Patrik</t>
  </si>
  <si>
    <t>patrik.felixson@melkki.fi</t>
  </si>
  <si>
    <t>2022-08-15 1001 - Infor LN (COF) (Valmet), Indirect procurement iPRO, Office IT, IT consulting (Main category) accepted by Tapiola Mika</t>
  </si>
  <si>
    <t xml:space="preserve">Gartner Finland Oy </t>
  </si>
  <si>
    <t>24134</t>
  </si>
  <si>
    <t>FI06128021</t>
  </si>
  <si>
    <t>Tiainen Ville</t>
  </si>
  <si>
    <t>ville.tiainen@gartner.com</t>
  </si>
  <si>
    <t>INACTIVE Felin Anu</t>
  </si>
  <si>
    <t>Kiwa</t>
  </si>
  <si>
    <t>Imatra</t>
  </si>
  <si>
    <t>IMATRA</t>
  </si>
  <si>
    <t>info@lis.fi</t>
  </si>
  <si>
    <t>294828</t>
  </si>
  <si>
    <t>FI20879323</t>
  </si>
  <si>
    <t>Indirect procurement iPRO, Personnel, Training &amp; people development;Indirect procurement iPRO, Professional services, Testing, measurement &amp; inspection</t>
  </si>
  <si>
    <t>Indirect procurement iPRO, Professional services, Testing, measurement &amp; inspection</t>
  </si>
  <si>
    <t>Svartsjö-Villacorta Taija</t>
  </si>
  <si>
    <t>toimisto@lis.fi</t>
  </si>
  <si>
    <t>2020-10-02 631 - Valmet Technologies, Inc PM (MP) (PAP), Indirect procurement iPRO, Personnel, Training &amp; people development accepted by Mäkelä Henri</t>
  </si>
  <si>
    <t xml:space="preserve">TietoEVRY Oyj  </t>
  </si>
  <si>
    <t xml:space="preserve">Tietoevry Finland Oy </t>
  </si>
  <si>
    <t>131904</t>
  </si>
  <si>
    <t>459905498</t>
  </si>
  <si>
    <t>FI19623611</t>
  </si>
  <si>
    <t>Rintanen Lassi</t>
  </si>
  <si>
    <t>lassi.rintanen@tietoevry.com</t>
  </si>
  <si>
    <t>Virnes Markku</t>
  </si>
  <si>
    <t>304426</t>
  </si>
  <si>
    <t>FI28101241</t>
  </si>
  <si>
    <t>Upmanyu Dhananjay</t>
  </si>
  <si>
    <t>dhananjay.upmanyu@nagarro.com</t>
  </si>
  <si>
    <t>Tapiola Mika</t>
  </si>
  <si>
    <t>Salo Sami;Frisk Sami</t>
  </si>
  <si>
    <t xml:space="preserve">2022-03-20 Indirect procurement iPRO, Office IT, IT consulting (Main category) accepted by </t>
  </si>
  <si>
    <t>LONDON</t>
  </si>
  <si>
    <t>INACTIVE Nevalainen Merja H</t>
  </si>
  <si>
    <t>290715</t>
  </si>
  <si>
    <t>m.nevin@washingtonfrank.com</t>
  </si>
  <si>
    <t>2019-06-11 1001 - Infor LN (SER), Indirect procurement iPRO, Office IT, IT consulting (Main category) accepted by Tapiola Mika</t>
  </si>
  <si>
    <t>TURKU</t>
  </si>
  <si>
    <t>kenttaviiva@kenttaviiva.fi</t>
  </si>
  <si>
    <t>96396</t>
  </si>
  <si>
    <t>FI20181320</t>
  </si>
  <si>
    <t>Kontto Antti</t>
  </si>
  <si>
    <t>antti.kontto@kenttaviiva.fi</t>
  </si>
  <si>
    <t>Kettunen Heikki</t>
  </si>
  <si>
    <t>Vuorimiehentie</t>
  </si>
  <si>
    <t>name.surname@vtt.fi</t>
  </si>
  <si>
    <t>37156</t>
  </si>
  <si>
    <t>368919580</t>
  </si>
  <si>
    <t>FI26473754</t>
  </si>
  <si>
    <t>Kuusisaari Jaakko</t>
  </si>
  <si>
    <t>jaakko.kuusisaari@vtt.fi</t>
  </si>
  <si>
    <t>RIO DE JANEIRO</t>
  </si>
  <si>
    <t>Brazil</t>
  </si>
  <si>
    <t>INACTIVE Batalha-Keskinen Anna</t>
  </si>
  <si>
    <t>310872</t>
  </si>
  <si>
    <t>Billing Department</t>
  </si>
  <si>
    <t>faturamento@cesconbarrieu.com.br</t>
  </si>
  <si>
    <t>2022-12-01 1001 - Infor LN (COF) (Valmet), Indirect procurement iPRO, Professional services, Legal services (Main category) accepted by Snedsböl Truls</t>
  </si>
  <si>
    <t>297908</t>
  </si>
  <si>
    <t>FI31628474</t>
  </si>
  <si>
    <t>Onnela Nona</t>
  </si>
  <si>
    <t>nona.onnela@neuvolab.fi</t>
  </si>
  <si>
    <t>INACTIVE Pouhula Sami;Tapiola Mika;Liukkonen Marko</t>
  </si>
  <si>
    <t>2020-11-12 1001 - Infor LN (PAP), Indirect procurement iPRO, Office IT, IT consulting (Main category) accepted by Tapiola Mika</t>
  </si>
  <si>
    <t>sales@neomore.fi</t>
  </si>
  <si>
    <t>191054</t>
  </si>
  <si>
    <t>FI10569815</t>
  </si>
  <si>
    <t>Björkqvist Peter</t>
  </si>
  <si>
    <t>peter.bjorkqvist@neomore.fi</t>
  </si>
  <si>
    <t>Nieminen Eija</t>
  </si>
  <si>
    <t>46022</t>
  </si>
  <si>
    <t>FI28555577</t>
  </si>
  <si>
    <t>Indirect procurement iPRO, Office IT, Application management, IT consulting;Indirect procurement iPRO, Office IT, Servers &amp; other hardware</t>
  </si>
  <si>
    <t>Indirect procurement iPRO, Office IT, Servers &amp; other hardware</t>
  </si>
  <si>
    <t>Haimila Matti</t>
  </si>
  <si>
    <t>matti.haimila@opuscapita.com</t>
  </si>
  <si>
    <t>Laitinen Saija</t>
  </si>
  <si>
    <t>2020-08-06 1001 - Infor LN (COF) (Valmet), Indirect procurement iPRO, Office IT, Application management, IT consulting (Main category) accepted by Tapiola Mika</t>
  </si>
  <si>
    <t>168349</t>
  </si>
  <si>
    <t>LUND</t>
  </si>
  <si>
    <t>info@opticon.se</t>
  </si>
  <si>
    <t>184255</t>
  </si>
  <si>
    <t>SE556390947101</t>
  </si>
  <si>
    <t>Malmström Björn</t>
  </si>
  <si>
    <t>bjorn.malmstrom@opticon.se</t>
  </si>
  <si>
    <t xml:space="preserve">Alfa Quality </t>
  </si>
  <si>
    <t>info@alfamoving.fi</t>
  </si>
  <si>
    <t>106510</t>
  </si>
  <si>
    <t>FI20495362</t>
  </si>
  <si>
    <t xml:space="preserve">Westerholm Dennis </t>
  </si>
  <si>
    <t>dennis.westerholm@alfamoving.com</t>
  </si>
  <si>
    <t>Tata Group</t>
  </si>
  <si>
    <t>Mumbai (Nirmal) Registered Office</t>
  </si>
  <si>
    <t>MUMBAI</t>
  </si>
  <si>
    <t>196830</t>
  </si>
  <si>
    <t>Samantray Subhadipta</t>
  </si>
  <si>
    <t>s.samantray@tcs.com</t>
  </si>
  <si>
    <t>AFRY</t>
  </si>
  <si>
    <t>147791</t>
  </si>
  <si>
    <t>FI23022763</t>
  </si>
  <si>
    <t>Turkkila Kalle</t>
  </si>
  <si>
    <t>kalle.turkkila@afry.com</t>
  </si>
  <si>
    <t>Kiema Miika</t>
  </si>
  <si>
    <t>2021-10-12 304 - LAE Production T3.4 (LAE) (SER), Indirect procurement iPRO, Professional services, Business consulting accepted by Monprasit Kobporn</t>
  </si>
  <si>
    <t>kolster@kolster.fi</t>
  </si>
  <si>
    <t>38865</t>
  </si>
  <si>
    <t>FI01101292</t>
  </si>
  <si>
    <t>Kolster General</t>
  </si>
  <si>
    <t>kolster@kolster.com</t>
  </si>
  <si>
    <t>info@sulava.com</t>
  </si>
  <si>
    <t>INACTIVE Mantere Mika</t>
  </si>
  <si>
    <t>290761</t>
  </si>
  <si>
    <t>FI23710689</t>
  </si>
  <si>
    <t>Indirect procurement iPRO, Office IT, IT consulting;Indirect procurement iPRO, Personnel, Training &amp; people development</t>
  </si>
  <si>
    <t>Antman Aki</t>
  </si>
  <si>
    <t>aki.antman@sulava.com</t>
  </si>
  <si>
    <t>2019-06-11 FI310A - Valmet Automation Finland (AS), Indirect procurement iPRO, Personnel, Training &amp; people development accepted by Mäkelä Henri</t>
  </si>
  <si>
    <t>INACTIVE Da Conceicao Sari</t>
  </si>
  <si>
    <t>300579</t>
  </si>
  <si>
    <t>FI31126132</t>
  </si>
  <si>
    <t>Nyholm Jouko</t>
  </si>
  <si>
    <t>jouko.nyholm@forwardforever.com</t>
  </si>
  <si>
    <t>INACTIVE Da Conceicao Sari;Liukkonen Marko</t>
  </si>
  <si>
    <t>2025-06-18 Basware - Basware purchasing (Valmet), Indirect procurement iPRO, Office IT, IT consulting accepted by Mäkelä Henri</t>
  </si>
  <si>
    <t>304014</t>
  </si>
  <si>
    <t>FI32074768</t>
  </si>
  <si>
    <t>Luoto Janina</t>
  </si>
  <si>
    <t>janina.luoto@isletgroup.fi</t>
  </si>
  <si>
    <t>Liukkonen Marko;Soikkanen Sirpa</t>
  </si>
  <si>
    <t>2022-02-10 1001 - Infor LN (PAP), Indirect procurement iPRO, Office IT, IT consulting (Main category) accepted by Tapiola Mika</t>
  </si>
  <si>
    <t>hanna.huhtala@leckle.fi</t>
  </si>
  <si>
    <t>Mähönen-Mendoza Emma</t>
  </si>
  <si>
    <t>301513</t>
  </si>
  <si>
    <t>FI33122573</t>
  </si>
  <si>
    <t>Huhtala Hanna</t>
  </si>
  <si>
    <t>Ndiritu Grace</t>
  </si>
  <si>
    <t>2021-08-06 1001 - Infor LN (COF) (Valmet), Indirect procurement iPRO, Professional services, Business consulting (Main category) accepted by Mäkelä Henri</t>
  </si>
  <si>
    <t>644626</t>
  </si>
  <si>
    <t>289809</t>
  </si>
  <si>
    <t>FI27798753</t>
  </si>
  <si>
    <t>Sääksvuori Antti</t>
  </si>
  <si>
    <t>antti.saaksvuori@krios.fi</t>
  </si>
  <si>
    <t>Korhonen Pauli</t>
  </si>
  <si>
    <t>2019-03-15 1001 - Infor LN (SER), Indirect procurement iPRO, Office IT, IT consulting accepted by INACTIVE Vaiste Ismo</t>
  </si>
  <si>
    <t>11039</t>
  </si>
  <si>
    <t>FI10243620</t>
  </si>
  <si>
    <t>20196</t>
  </si>
  <si>
    <t>FI05909643</t>
  </si>
  <si>
    <t>Carnicelli Laura</t>
  </si>
  <si>
    <t>laura.carnicelli@aaltoee.fi</t>
  </si>
  <si>
    <t>PLESZEW</t>
  </si>
  <si>
    <t>Poland</t>
  </si>
  <si>
    <t>303504</t>
  </si>
  <si>
    <t>PL6171510685</t>
  </si>
  <si>
    <t>Juśkiewicz Krzysztof</t>
  </si>
  <si>
    <t>krzysztof.juskiewicz@kwsoft.com.pl</t>
  </si>
  <si>
    <t>Mölsä Annemari</t>
  </si>
  <si>
    <t>2022-01-10 1001 - Infor LN (COF) (Valmet), Indirect procurement iPRO, Professional services, Business consulting accepted by Mäkelä Henri</t>
  </si>
  <si>
    <t>LAHTI</t>
  </si>
  <si>
    <t>21482</t>
  </si>
  <si>
    <t>368715699</t>
  </si>
  <si>
    <t>FI14746284</t>
  </si>
  <si>
    <t>Minkkinen Juha</t>
  </si>
  <si>
    <t>juha.minkkinen@valmetpartners.com</t>
  </si>
  <si>
    <t>KISTA</t>
  </si>
  <si>
    <t>226477</t>
  </si>
  <si>
    <t>SE556224134801</t>
  </si>
  <si>
    <t>Delies Caroline</t>
  </si>
  <si>
    <t>caroline.delies@infor.com</t>
  </si>
  <si>
    <t>37555</t>
  </si>
  <si>
    <t>368905167</t>
  </si>
  <si>
    <t>FI02463121</t>
  </si>
  <si>
    <t>Indirect procurement iPRO, Marketing &amp; communication, Membership &amp; association fees;Indirect procurement iPRO, Professional services;Indirect procurement iPRO, Professional services, R&amp;D services &amp; materials;Indirect procurement iPRO, Professional services, Testing, measurement &amp; inspection;Services, R&amp;D engineering</t>
  </si>
  <si>
    <t>Xu Chunlin</t>
  </si>
  <si>
    <t>chunlin.xu@abo.fi</t>
  </si>
  <si>
    <t>INACTIVE Koskinen Tero</t>
  </si>
  <si>
    <t>2023-01-24 1001 - Infor LN (PAP), Indirect procurement iPRO, Professional services, Testing, measurement &amp; inspection accepted by Snedsböl Truls</t>
  </si>
  <si>
    <t>PERGINE VALSUGANA</t>
  </si>
  <si>
    <t>Italy</t>
  </si>
  <si>
    <t>florinpit@yahoo.it</t>
  </si>
  <si>
    <t>289220</t>
  </si>
  <si>
    <t>IT02664950223</t>
  </si>
  <si>
    <t>florin.ples@valmetpartners.com</t>
  </si>
  <si>
    <t>Mähönen-Mendoza Emma;Ndiritu Grace</t>
  </si>
  <si>
    <t>2019-01-10 639 - Valmet Technologies, Inc   PPP HO (MP) (Valmet), Indirect procurement iPRO, Office IT, IT consulting (Main category) accepted by INACTIVE Vaiste Ismo</t>
  </si>
  <si>
    <t>628153</t>
  </si>
  <si>
    <t>311341</t>
  </si>
  <si>
    <t>FI31280017</t>
  </si>
  <si>
    <t>Suorsa Antti</t>
  </si>
  <si>
    <t>antti@zealsourcing.fi</t>
  </si>
  <si>
    <t>INACTIVE Sjöborg Jens</t>
  </si>
  <si>
    <t>2023-01-10 1001 - Infor LN (COF) (Valmet), Indirect procurement iPRO, Professional services, Business consulting accepted by Snedsböl Truls</t>
  </si>
  <si>
    <t>MADRID</t>
  </si>
  <si>
    <t>Spain</t>
  </si>
  <si>
    <t>INACTIVE Pöyhtäri Jukka-Pekka</t>
  </si>
  <si>
    <t>304189</t>
  </si>
  <si>
    <t>ESB39861562</t>
  </si>
  <si>
    <t>Gutierrez Helena</t>
  </si>
  <si>
    <t>helena.gutierrez@shareplm.com</t>
  </si>
  <si>
    <t>Ottosson Magdalena</t>
  </si>
  <si>
    <t>2022-02-28 1001 - Infor LN (PAP), Indirect procurement iPRO, Professional services, Business consulting (Main category) accepted by Mäkelä Henri</t>
  </si>
  <si>
    <t>LEMPÄÄLÄ</t>
  </si>
  <si>
    <t>purmaconsulting@gmail.com</t>
  </si>
  <si>
    <t>222048</t>
  </si>
  <si>
    <t xml:space="preserve">FI25617584 </t>
  </si>
  <si>
    <t>Purma</t>
  </si>
  <si>
    <t>lasse.purma@purmaconsulting.com</t>
  </si>
  <si>
    <t>Liukkonen Marko;Korhonen Pauli</t>
  </si>
  <si>
    <t>305125</t>
  </si>
  <si>
    <t>FI28325907</t>
  </si>
  <si>
    <t>Oksanen Saku</t>
  </si>
  <si>
    <t>saku.oksanen@cloud2.fi</t>
  </si>
  <si>
    <t>Liukkonen Marko;Burmeister Jari</t>
  </si>
  <si>
    <t>2022-05-23 1001 - Infor LN (PAP), Indirect procurement iPRO, Office IT, IT consulting (Main category) accepted by Tapiola Mika</t>
  </si>
  <si>
    <t>40066</t>
  </si>
  <si>
    <t>FI92093629</t>
  </si>
  <si>
    <t>Sidklev Johan</t>
  </si>
  <si>
    <t>johan.sidklev@roschier.com</t>
  </si>
  <si>
    <t>MILWAUKEE</t>
  </si>
  <si>
    <t>118645</t>
  </si>
  <si>
    <t>2018-10-30 1001 - Infor LN (SER), Indirect procurement iPRO, Professional services, Legal services (Main category) accepted by Mäkelä Henri</t>
  </si>
  <si>
    <t>info@digitalworkforce.fi</t>
  </si>
  <si>
    <t>INACTIVE Länsimies Jukka</t>
  </si>
  <si>
    <t>284709</t>
  </si>
  <si>
    <t>FI27047925</t>
  </si>
  <si>
    <t>Indirect procurement iPRO, Office IT, IT consulting;Indirect procurement iPRO, Office IT, Software licenses, IT consulting</t>
  </si>
  <si>
    <t>Närhi Jenni</t>
  </si>
  <si>
    <t>jenni.narhi@digitalworkforce.com</t>
  </si>
  <si>
    <t>Liukkonen Marko;Frisk Sami</t>
  </si>
  <si>
    <t>2023-08-03 FC - Infor M3 (FC) (FC), Indirect procurement iPRO, Office IT, IT consulting accepted by Tapiola Mika</t>
  </si>
  <si>
    <t>148854</t>
  </si>
  <si>
    <t>FI23034385</t>
  </si>
  <si>
    <t>Indirect procurement iPRO, Professional services, Certification, standardization &amp; audits</t>
  </si>
  <si>
    <t>Hujanen Jukka</t>
  </si>
  <si>
    <t>jukka.hujanen@lr.org</t>
  </si>
  <si>
    <t>2021-03-16 1001 - Infor LN (COF) (Valmet), Indirect procurement iPRO, Professional services, Certification, standardization &amp; audits (Main category) accepted by INACTIVE Heikkinen Joona Kalle Matias</t>
  </si>
  <si>
    <t>305158</t>
  </si>
  <si>
    <t>GB849126115</t>
  </si>
  <si>
    <t>Lundström Irene</t>
  </si>
  <si>
    <t>irene.lundstrom@genpact.com</t>
  </si>
  <si>
    <t>Tapiola Mika;Liukkonen Marko;Wilén Anni</t>
  </si>
  <si>
    <t xml:space="preserve">2022-05-25 Indirect procurement iPRO, Office IT, IT consulting (Main category) accepted by </t>
  </si>
  <si>
    <t>frankjt@netcabo.pt</t>
  </si>
  <si>
    <t>289219</t>
  </si>
  <si>
    <t>FI28394777</t>
  </si>
  <si>
    <t>Torres Frank</t>
  </si>
  <si>
    <t>frank.torres@valmetpartners.com</t>
  </si>
  <si>
    <t>VTT Konsernitoiminnot</t>
  </si>
  <si>
    <t>Indirect procurement iPRO, Professional services;Indirect procurement iPRO, Professional services, R&amp;D services &amp; materials</t>
  </si>
  <si>
    <t>INACTIVE Meroma Outi</t>
  </si>
  <si>
    <t>2015-11-26 634 - Valmet Technologies, Inc FIB Pori (MP) (P&amp;E), Indirect procurement iPRO, Professional services accepted by Loikkanen Janne</t>
  </si>
  <si>
    <t>info@veronaconsulting.fi</t>
  </si>
  <si>
    <t>33542</t>
  </si>
  <si>
    <t>369404327</t>
  </si>
  <si>
    <t>FI15999793</t>
  </si>
  <si>
    <t>Pennanen Risto</t>
  </si>
  <si>
    <t>risto.pennanen@verona.fi</t>
  </si>
  <si>
    <t>222332</t>
  </si>
  <si>
    <t xml:space="preserve">FI25602075 </t>
  </si>
  <si>
    <t>Indirect procurement iPRO, Office IT, IT consulting;Indirect procurement iPRO, Professional services, R&amp;D services &amp; materials;Services, Automation engineering, Automation engineering</t>
  </si>
  <si>
    <t>Mikkola Pekka</t>
  </si>
  <si>
    <t>pekka.mikkola@comion.fi</t>
  </si>
  <si>
    <t>LULEÅ</t>
  </si>
  <si>
    <t>support@navcite.se</t>
  </si>
  <si>
    <t>139344</t>
  </si>
  <si>
    <t>SE556758541801</t>
  </si>
  <si>
    <t>support</t>
  </si>
  <si>
    <t>GOIÂNIA</t>
  </si>
  <si>
    <t>297167</t>
  </si>
  <si>
    <t>Muller Joao</t>
  </si>
  <si>
    <t>joao.g.muller@gmail.com</t>
  </si>
  <si>
    <t>2020-09-03 1001 - Infor LN (PAP), Indirect procurement iPRO, Office IT, IT consulting (Main category) accepted by Tapiola Mika</t>
  </si>
  <si>
    <t>LINGOLSHEIM</t>
  </si>
  <si>
    <t>France</t>
  </si>
  <si>
    <t>230607</t>
  </si>
  <si>
    <t>FR54799554621</t>
  </si>
  <si>
    <t>RAUTALAMPI</t>
  </si>
  <si>
    <t>Malinen Mervi</t>
  </si>
  <si>
    <t>306275</t>
  </si>
  <si>
    <t>Pesonen Kalle</t>
  </si>
  <si>
    <t>kallepesone@gmail.com</t>
  </si>
  <si>
    <t>Liukkonen Marko;INACTIVE Tolonen Arto</t>
  </si>
  <si>
    <t>2022-09-01 1001 - Infor LN (COF) (Valmet), Indirect procurement iPRO, Office IT, IT consulting (Main category) accepted by Tapiola Mika</t>
  </si>
  <si>
    <t>304029</t>
  </si>
  <si>
    <t>FI15780599</t>
  </si>
  <si>
    <t>Antila Tarmo</t>
  </si>
  <si>
    <t>tarmo.antila@fujitsu.com</t>
  </si>
  <si>
    <t>Tapiola Mika;Liukkonen Marko;Soikkanen Sirpa</t>
  </si>
  <si>
    <t xml:space="preserve">2022-02-11 Indirect procurement iPRO, Office IT, IT consulting (Main category) accepted by </t>
  </si>
  <si>
    <t>LAPUA</t>
  </si>
  <si>
    <t>Hakanen Tytti</t>
  </si>
  <si>
    <t>294439</t>
  </si>
  <si>
    <t>FI29944398</t>
  </si>
  <si>
    <t>Kivisalo Sami</t>
  </si>
  <si>
    <t>sami.kivisalo@kovaholding.fi</t>
  </si>
  <si>
    <t>Lestelin Pasi</t>
  </si>
  <si>
    <t>2020-03-10 210 - Valmet Power Finland (POWFIN) (P&amp;E), Indirect procurement iPRO, Professional services, Business consulting (Main category) accepted by Mäkelä Henri</t>
  </si>
  <si>
    <t>CHICAGO</t>
  </si>
  <si>
    <t>Soikkanen Sirpa</t>
  </si>
  <si>
    <t>293228</t>
  </si>
  <si>
    <t>Sinkinson James</t>
  </si>
  <si>
    <t>jsinkinson@sphera.com</t>
  </si>
  <si>
    <t>2020-01-02 1001 - Infor LN (COF) (Valmet), Indirect procurement iPRO, Office IT, IT consulting (Main category) accepted by Tapiola Mika</t>
  </si>
  <si>
    <t>Laitiainen Outi</t>
  </si>
  <si>
    <t>295050</t>
  </si>
  <si>
    <t>FI25313679</t>
  </si>
  <si>
    <t>Julmala Harri</t>
  </si>
  <si>
    <t>harri.julmala@leanware.fi</t>
  </si>
  <si>
    <t>2020-05-14 1001 - Infor LN (SER), Indirect procurement iPRO, Office IT, IT consulting (Main category) accepted by Tapiola Mika</t>
  </si>
  <si>
    <t>92459</t>
  </si>
  <si>
    <t>FI05553456</t>
  </si>
  <si>
    <t>Saari Mika</t>
  </si>
  <si>
    <t>hannes.snellman@hannessnellman.com</t>
  </si>
  <si>
    <t>38328</t>
  </si>
  <si>
    <t>FI92093637</t>
  </si>
  <si>
    <t>Aalto Johan</t>
  </si>
  <si>
    <t>johan.aalto@hannessnellman.com</t>
  </si>
  <si>
    <t>PORVOO</t>
  </si>
  <si>
    <t>vmm@cpqfinland.fi</t>
  </si>
  <si>
    <t>INACTIVE Taivassalo Milja</t>
  </si>
  <si>
    <t>284336</t>
  </si>
  <si>
    <t>FI29205173</t>
  </si>
  <si>
    <t>Myllymäki Veli-Matti</t>
  </si>
  <si>
    <t>2017-11-14 636 - Valmet Technologies, Inc MIL PER (MP) (SER), Indirect procurement iPRO, Office IT, IT consulting (Main category) accepted by INACTIVE Vaiste Ismo</t>
  </si>
  <si>
    <t>621732</t>
  </si>
  <si>
    <t>Helminen Päivi</t>
  </si>
  <si>
    <t>310479</t>
  </si>
  <si>
    <t>FI32837059</t>
  </si>
  <si>
    <t>Äijälä Mikko</t>
  </si>
  <si>
    <t>mikko.aijala@fi.ey.com</t>
  </si>
  <si>
    <t>INACTIVE Vajavaara Heikki</t>
  </si>
  <si>
    <t>2024-09-11 359 - Vietnam Baan (SER), Indirect procurement iPRO, Professional services, Business consulting accepted by Phulphiphat Usa</t>
  </si>
  <si>
    <t>Accounts.Receivable@ccc.fi</t>
  </si>
  <si>
    <t>INACTIVE Honkanen Jani</t>
  </si>
  <si>
    <t>12235</t>
  </si>
  <si>
    <t>FI07281351</t>
  </si>
  <si>
    <t>Rönkkö Petri</t>
  </si>
  <si>
    <t>Petri.Ronkko@nortal.com</t>
  </si>
  <si>
    <t>2021-06-22 1001 - Infor LN (COF) (Valmet), Indirect procurement iPRO, Office IT, IT consulting (Main category) accepted by Tapiola Mika</t>
  </si>
  <si>
    <t>ODENSE C</t>
  </si>
  <si>
    <t>Denmark</t>
  </si>
  <si>
    <t>305689</t>
  </si>
  <si>
    <t>DK33149034</t>
  </si>
  <si>
    <t xml:space="preserve">Gierahn  Christian </t>
  </si>
  <si>
    <t>christian.gierahn@mazeppagroup.com</t>
  </si>
  <si>
    <t>2022-06-23 1001 - Infor LN (COF) (Valmet), Indirect procurement iPRO, Professional services, Business consulting accepted by Mäkelä Henri</t>
  </si>
  <si>
    <t>Borel Xavier</t>
  </si>
  <si>
    <t>244273</t>
  </si>
  <si>
    <t>FI29853146</t>
  </si>
  <si>
    <t>Components and equipment, IT components, Other IT components;Indirect procurement iPRO, Marketing &amp; communication, Advertising &amp; branding;Indirect procurement iPRO, Office IT, IT consulting</t>
  </si>
  <si>
    <t>Freyberg Kivikari</t>
  </si>
  <si>
    <t>kivikari.freyberg@ceili.fi</t>
  </si>
  <si>
    <t>Borel Xavier;Tapiola Mika;Liukkonen Marko</t>
  </si>
  <si>
    <t>2020-12-23 304 - LAE Production T3.4 (LAE) (SER), Indirect procurement iPRO, Marketing &amp; communication, Advertising &amp; branding accepted by Monprasit Kobporn</t>
  </si>
  <si>
    <t>MUNICH</t>
  </si>
  <si>
    <t>postoffice@tbk-patent.de</t>
  </si>
  <si>
    <t>34517</t>
  </si>
  <si>
    <t>DE130748035</t>
  </si>
  <si>
    <t>TBK Info</t>
  </si>
  <si>
    <t>tbkpost@tbk.com</t>
  </si>
  <si>
    <t>TROY</t>
  </si>
  <si>
    <t>304698</t>
  </si>
  <si>
    <t>Info</t>
  </si>
  <si>
    <t>info@centroid.com</t>
  </si>
  <si>
    <t xml:space="preserve">2022-04-12 Indirect procurement iPRO, Office IT, IT consulting (Main category) accepted by </t>
  </si>
  <si>
    <t>304030</t>
  </si>
  <si>
    <t>FI29062387</t>
  </si>
  <si>
    <t>Nambiar Diresh</t>
  </si>
  <si>
    <t>diresh.nambiar@gmail.com</t>
  </si>
  <si>
    <t>ANTWERP</t>
  </si>
  <si>
    <t>Belgium</t>
  </si>
  <si>
    <t>249803</t>
  </si>
  <si>
    <t>BE0818009314</t>
  </si>
  <si>
    <t>ŁÓDŹ</t>
  </si>
  <si>
    <t>203619</t>
  </si>
  <si>
    <t>PL7251784824</t>
  </si>
  <si>
    <t>Repo Johanna</t>
  </si>
  <si>
    <t>297830</t>
  </si>
  <si>
    <t>FI31667107</t>
  </si>
  <si>
    <t>Hämäläinen Risto</t>
  </si>
  <si>
    <t>risto.o.hamalainen@gmail.com</t>
  </si>
  <si>
    <t>2020-11-05 210 - Valmet Power Finland (POWFIN) (P&amp;E), Indirect procurement iPRO, Professional services, Business consulting (Main category) accepted by Mäkelä Henri</t>
  </si>
  <si>
    <t>PROVO</t>
  </si>
  <si>
    <t>Sipari Meri-Tuuli</t>
  </si>
  <si>
    <t>297638</t>
  </si>
  <si>
    <t>Indirect procurement iPRO, Office IT, Software licenses;Indirect procurement iPRO, Personnel, Training &amp; people development</t>
  </si>
  <si>
    <t>Lepistö Jukka</t>
  </si>
  <si>
    <t>jukkal@qualtrics.com</t>
  </si>
  <si>
    <t>2020-10-21 1001 - Infor LN (COF) (Valmet), Indirect procurement iPRO, Personnel, Training &amp; people development (Main category) accepted by Mäkelä Henri</t>
  </si>
  <si>
    <t>myynti@cloud1.fi</t>
  </si>
  <si>
    <t>298852</t>
  </si>
  <si>
    <t>FI25035867</t>
  </si>
  <si>
    <t>Puupponen Harri</t>
  </si>
  <si>
    <t>harri.puupponen@cloud1.fi</t>
  </si>
  <si>
    <t>Vörgren Sampo</t>
  </si>
  <si>
    <t>2021-02-15 1001 - Infor LN (COF) (Valmet), Indirect procurement iPRO, Office IT, IT consulting (Main category) accepted by Tapiola Mika</t>
  </si>
  <si>
    <t>HELLERUP</t>
  </si>
  <si>
    <t>info@implement.dk</t>
  </si>
  <si>
    <t>236516</t>
  </si>
  <si>
    <t>DK32767788</t>
  </si>
  <si>
    <t>Bremelhoj Morten</t>
  </si>
  <si>
    <t>mbr@implement.dk</t>
  </si>
  <si>
    <t>2018-03-26 210 - Valmet Power Finland (POWFIN) (P&amp;E), Indirect procurement iPRO, Personnel, Training &amp; people development (Main category) accepted by Mäkelä Henri</t>
  </si>
  <si>
    <t>eero.sukanen@sfs.fi</t>
  </si>
  <si>
    <t>32918</t>
  </si>
  <si>
    <t>FI02022908</t>
  </si>
  <si>
    <t>Björn Jukka</t>
  </si>
  <si>
    <t>jukka.bjorn@sfs.fi</t>
  </si>
  <si>
    <t>286503</t>
  </si>
  <si>
    <t>SE556922510401</t>
  </si>
  <si>
    <t>Mieskolainen Ari-Pekka</t>
  </si>
  <si>
    <t>a.mieskolainen@wolterskluwer.com</t>
  </si>
  <si>
    <t>2018-05-16 639 - Valmet Technologies, Inc   PPP HO (MP) (Valmet), Indirect procurement iPRO, Office IT, IT consulting (Main category) accepted by INACTIVE Vaiste Ismo</t>
  </si>
  <si>
    <t>LIEVESTUORE</t>
  </si>
  <si>
    <t>Koskinen Tarja</t>
  </si>
  <si>
    <t>298190</t>
  </si>
  <si>
    <t>FI31706938</t>
  </si>
  <si>
    <t>Indirect procurement iPRO, Professional services, Business consulting;Services, Subcontracted site works, Machine mechanical installation</t>
  </si>
  <si>
    <t>Arvonen Sauli</t>
  </si>
  <si>
    <t>sauli.arvonen@inoxia.fi</t>
  </si>
  <si>
    <t>Ojanen Susanna</t>
  </si>
  <si>
    <t>2021-06-23 1001 - Infor LN (PAP), Services, Subcontracted site works, Machine mechanical installation accepted by INACTIVE Sweins Andreas</t>
  </si>
  <si>
    <t>TUUSULA</t>
  </si>
  <si>
    <t>297541</t>
  </si>
  <si>
    <t>FI22559649</t>
  </si>
  <si>
    <t>Sarinko Pasi</t>
  </si>
  <si>
    <t>pasi.sarinko@technia.com</t>
  </si>
  <si>
    <t>2020-10-12 1001 - Infor LN (COF) (Valmet), Indirect procurement iPRO, Professional services, Business consulting accepted by Mäkelä Henri</t>
  </si>
  <si>
    <t>289328</t>
  </si>
  <si>
    <t>FI25485817</t>
  </si>
  <si>
    <t>Norppa-Rahkola Jani</t>
  </si>
  <si>
    <t>jani.norppa-rahkola@outlook.com</t>
  </si>
  <si>
    <t>Korhonen Pauli;Liukkonen Marko</t>
  </si>
  <si>
    <t>2024-09-05 FC - Infor M3 (FC) (FC), Valmet FC Finland Oy 310, Indirect procurement iPRO, Professional services, Business consulting accepted by Snedsböl Truls</t>
  </si>
  <si>
    <t>Pirinen Mirka</t>
  </si>
  <si>
    <t>294357</t>
  </si>
  <si>
    <t>FI29795513</t>
  </si>
  <si>
    <t>Järvinen Antti</t>
  </si>
  <si>
    <t>antti.jarvinen@frontia.fi</t>
  </si>
  <si>
    <t>2020-03-04 1001 - Infor LN (COF) (Valmet), Indirect procurement iPRO, Professional services, Legal services (Main category) accepted by Mäkelä Henri</t>
  </si>
  <si>
    <t>119062</t>
  </si>
  <si>
    <t>FI20085742</t>
  </si>
  <si>
    <t>Ylimäki Laura</t>
  </si>
  <si>
    <t>laura.ylimaki@gaia.fi</t>
  </si>
  <si>
    <t>SÃO PAULO</t>
  </si>
  <si>
    <t>315101</t>
  </si>
  <si>
    <t>Fermino Valéria</t>
  </si>
  <si>
    <t>valeria.fermino@mazars.com.br</t>
  </si>
  <si>
    <t>2023-04-18 1001 - Infor LN (COF) (Valmet), Indirect procurement iPRO, Professional services, Business consulting (Main category) accepted by Snedsböl Truls</t>
  </si>
  <si>
    <t>AKAA</t>
  </si>
  <si>
    <t>terhi.tallqvist@pp.inet.fi</t>
  </si>
  <si>
    <t>248500</t>
  </si>
  <si>
    <t>FI28258564</t>
  </si>
  <si>
    <t>Indirect procurement iPRO, Professional services, R&amp;D services &amp; materials;Services, R&amp;D engineering</t>
  </si>
  <si>
    <t>Tallqvist Terhi</t>
  </si>
  <si>
    <t>terhi.tallqvist@valmetpartners.com</t>
  </si>
  <si>
    <t>2020-04-02 210 - Valmet Power Finland (POWFIN) (P&amp;E), Services, R&amp;D engineering accepted by Auri Jukka</t>
  </si>
  <si>
    <t>INACTIVE Nousu Ella</t>
  </si>
  <si>
    <t>304173</t>
  </si>
  <si>
    <t>Airikkala Heikki</t>
  </si>
  <si>
    <t>heikki.airikkala@hotmail.com</t>
  </si>
  <si>
    <t>2022-02-28 1001 - Infor LN (P&amp;E), Energy, Indirect procurement iPRO, Professional services, Business consulting (Main category) accepted by Mäkelä Henri</t>
  </si>
  <si>
    <t>Ramboll</t>
  </si>
  <si>
    <t>ROME</t>
  </si>
  <si>
    <t>316603</t>
  </si>
  <si>
    <t>IT06155051003</t>
  </si>
  <si>
    <t>Lo Meo Samantha</t>
  </si>
  <si>
    <t>slomeo@ramboll.com</t>
  </si>
  <si>
    <t>2023-08-16 1001 - Infor LN (COF) (Valmet), Indirect procurement iPRO, Professional services, Business consulting (Main category) accepted by Snedsböl Truls</t>
  </si>
  <si>
    <t>OULU</t>
  </si>
  <si>
    <t>298742</t>
  </si>
  <si>
    <t>FI31856565</t>
  </si>
  <si>
    <t>Räinä Lea</t>
  </si>
  <si>
    <t>lea.raina@leapro.fi</t>
  </si>
  <si>
    <t>2021-02-02 1001 - Infor LN (COF) (Valmet), Indirect procurement iPRO, Professional services, Business consulting accepted by Mäkelä Henri</t>
  </si>
  <si>
    <t>juha.roppo@kotikone.fi</t>
  </si>
  <si>
    <t>225433</t>
  </si>
  <si>
    <t>FI25939946</t>
  </si>
  <si>
    <t>Roppo Juha</t>
  </si>
  <si>
    <t>juha.roppo@valmetpartners.com</t>
  </si>
  <si>
    <t>2021-01-15 1001 - Infor LN (P&amp;E), Indirect procurement iPRO, Professional services, R&amp;D services &amp; materials accepted by Mäkelä Henri</t>
  </si>
  <si>
    <t>302933</t>
  </si>
  <si>
    <t>Veikkolainen Teemu</t>
  </si>
  <si>
    <t>teemuveikkolainen@gmail.com</t>
  </si>
  <si>
    <t>INACTIVE Pouhula Sami</t>
  </si>
  <si>
    <t>2021-11-19 1001 - Infor LN (PAP), Indirect procurement iPRO, Office IT, IT consulting (Main category) accepted by Tapiola Mika</t>
  </si>
  <si>
    <t>accounts.stockholm@cpaglobal.com</t>
  </si>
  <si>
    <t>27556</t>
  </si>
  <si>
    <t>SE556449243601</t>
  </si>
  <si>
    <t>CPA Global</t>
  </si>
  <si>
    <t>198712</t>
  </si>
  <si>
    <t>FI24404130</t>
  </si>
  <si>
    <t>Nieminen Kaale</t>
  </si>
  <si>
    <t>kaale.nieminen@gmail.com</t>
  </si>
  <si>
    <t>INACTIVE Wäre Titta</t>
  </si>
  <si>
    <t>285478</t>
  </si>
  <si>
    <t>GB268401206</t>
  </si>
  <si>
    <t>Indirect procurement iPRO, Office IT, IT consulting;Indirect procurement iPRO, Professional services, Other business services</t>
  </si>
  <si>
    <t>Thompson Phil</t>
  </si>
  <si>
    <t>phil.thompson@alight.com</t>
  </si>
  <si>
    <t>2018-02-16 MSS_SAP - Valmet Corporation SAP (Valmet), Indirect procurement iPRO, Professional services, Other business services accepted by INACTIVE Koponen Jukka</t>
  </si>
  <si>
    <t xml:space="preserve">Gasum Portfolio Services Oy </t>
  </si>
  <si>
    <t xml:space="preserve">etunimi.sukunimi@enegia.com </t>
  </si>
  <si>
    <t>245426</t>
  </si>
  <si>
    <t>FI25496479</t>
  </si>
  <si>
    <t>Leikola Taavi</t>
  </si>
  <si>
    <t>taavi.leikola@gasum.com</t>
  </si>
  <si>
    <t>Mäkelä Henri</t>
  </si>
  <si>
    <t>INACTIVE Hämäläinen Saara</t>
  </si>
  <si>
    <t>288182</t>
  </si>
  <si>
    <t>SE556681199701</t>
  </si>
  <si>
    <t>Indirect procurement iPRO, Professional services, Business consulting;Indirect procurement iPRO, Professional services, Other business services</t>
  </si>
  <si>
    <t>Roiha Ulla</t>
  </si>
  <si>
    <t>Ulla.roiha@enact.se</t>
  </si>
  <si>
    <t>Loponen Reetta</t>
  </si>
  <si>
    <t>2024-01-23 FC - Infor M3 (FC) (FC), Valmet FC Finland Oy 310, Indirect procurement iPRO, Professional services, Business consulting accepted by Snedsböl Truls</t>
  </si>
  <si>
    <t>50954</t>
  </si>
  <si>
    <t>FI16364757</t>
  </si>
  <si>
    <t>Coogan Johan</t>
  </si>
  <si>
    <t>john.coogan@encap.fi</t>
  </si>
  <si>
    <t>PANAMA CITY</t>
  </si>
  <si>
    <t>Panama</t>
  </si>
  <si>
    <t>Antunes Marcelo</t>
  </si>
  <si>
    <t>316840</t>
  </si>
  <si>
    <t>Borjeson Erik</t>
  </si>
  <si>
    <t>eeborjeson@reroca.com</t>
  </si>
  <si>
    <t>2023-10-13 710 - CAN FGC Production (MON) (Valmet), Indirect procurement iPRO, Professional services, Business consulting accepted by INACTIVE Kowalchuk David</t>
  </si>
  <si>
    <t>Mercer Human Resource Consulting</t>
  </si>
  <si>
    <t>36757</t>
  </si>
  <si>
    <t>369084582</t>
  </si>
  <si>
    <t>FI15373897</t>
  </si>
  <si>
    <t>2023-01-17 FC - Infor M3 (FC) (FC), Indirect procurement iPRO, Professional services, Business consulting (Main category) accepted by Mäkelä Henri</t>
  </si>
  <si>
    <t>KANGASALA</t>
  </si>
  <si>
    <t>INACTIVE Kallio Tuija</t>
  </si>
  <si>
    <t>292337</t>
  </si>
  <si>
    <t>FI30874374</t>
  </si>
  <si>
    <t>Mäkelä Kari</t>
  </si>
  <si>
    <t>kari.skagit@gmail.com</t>
  </si>
  <si>
    <t>INACTIVE Nieminen Ari</t>
  </si>
  <si>
    <t>2020-11-06 1001 - Infor LN (P&amp;E), Indirect procurement iPRO, Professional services, Business consulting accepted by Mäkelä Henri</t>
  </si>
  <si>
    <t>292079</t>
  </si>
  <si>
    <t>FI27998368</t>
  </si>
  <si>
    <t>Components and equipment, Other equipment and components, Other equipment and components;Indirect procurement iPRO, Professional services, Business consulting</t>
  </si>
  <si>
    <t>Risku Tapio</t>
  </si>
  <si>
    <t>Info@powerten.fi</t>
  </si>
  <si>
    <t>Maaninen-Parviainen Minna</t>
  </si>
  <si>
    <t>2021-03-26 1001 - Infor LN (P&amp;E), Components and equipment, Other equipment and components, Other equipment and components accepted by Melava Jarmo</t>
  </si>
  <si>
    <t>asiakaspalvelu@rahoittamo.com</t>
  </si>
  <si>
    <t>57891</t>
  </si>
  <si>
    <t>FI25572478</t>
  </si>
  <si>
    <t>Rahoittamo</t>
  </si>
  <si>
    <t>Critical supplier, Net 7 days</t>
  </si>
  <si>
    <t>Ruuska Jukka</t>
  </si>
  <si>
    <t>SLAVONSKI BROD</t>
  </si>
  <si>
    <t>Croatia (Hrvatska)</t>
  </si>
  <si>
    <t>292966</t>
  </si>
  <si>
    <t>HR88838386952</t>
  </si>
  <si>
    <t>Baškarić Bojan</t>
  </si>
  <si>
    <t xml:space="preserve">2019-12-10 Indirect procurement iPRO, Personnel, Training &amp; people development accepted by </t>
  </si>
  <si>
    <t>Schlupp Kaj</t>
  </si>
  <si>
    <t>311086</t>
  </si>
  <si>
    <t>FI32918764</t>
  </si>
  <si>
    <t>Indirect procurement iPRO, Professional services, R&amp;D services &amp; materials;Services, R&amp;D engineering, R&amp;D engineering</t>
  </si>
  <si>
    <t>Leiro Joonas</t>
  </si>
  <si>
    <t>joonas@primeisland.fi</t>
  </si>
  <si>
    <t>2023-03-06 FC - Infor M3 (FC) (FC), Services, R&amp;D engineering, R&amp;D engineering accepted by Kiema Miika</t>
  </si>
  <si>
    <t>mail@kespat.fi</t>
  </si>
  <si>
    <t>21363</t>
  </si>
  <si>
    <t>401588314</t>
  </si>
  <si>
    <t xml:space="preserve">FI26097031 </t>
  </si>
  <si>
    <t>Brandt Tarja</t>
  </si>
  <si>
    <t>SEINÄJOKI</t>
  </si>
  <si>
    <t>148731</t>
  </si>
  <si>
    <t>FI20591071</t>
  </si>
  <si>
    <t>Indirect procurement iPRO, Facilities, Facility investments;Indirect procurement iPRO, Professional services, Business consulting</t>
  </si>
  <si>
    <t>Indirect procurement iPRO, Facilities, Facility investments</t>
  </si>
  <si>
    <t>Hirvonen Harri</t>
  </si>
  <si>
    <t>harri.hirvonen@hansacon.fi</t>
  </si>
  <si>
    <t>14135</t>
  </si>
  <si>
    <t>540069309</t>
  </si>
  <si>
    <t>FI14574216</t>
  </si>
  <si>
    <t>Zeitzen Markus</t>
  </si>
  <si>
    <t>Markus.Zeitzen@dnv.com</t>
  </si>
  <si>
    <t>2024-05-20 CN787 - Valmet Fabrics (China) Co. Ltd (SER) (SER), Indirect procurement iPRO, Professional services, Certification, standardization &amp; audits accepted by Qiu Huimin</t>
  </si>
  <si>
    <t>301203</t>
  </si>
  <si>
    <t>Chapman William</t>
  </si>
  <si>
    <t>william.chapman@bakertilly.com</t>
  </si>
  <si>
    <t>Schönberg Christer</t>
  </si>
  <si>
    <t>2021-07-01 1001 - Infor LN (COF) (Valmet), Indirect procurement iPRO, Professional services, Business consulting (Main category) accepted by Mäkelä Henri</t>
  </si>
  <si>
    <t>ALEXANDRIA</t>
  </si>
  <si>
    <t>Egypt</t>
  </si>
  <si>
    <t>barragoda@hotmail.com</t>
  </si>
  <si>
    <t>INACTIVE Roine Tommi</t>
  </si>
  <si>
    <t>285632</t>
  </si>
  <si>
    <t>558078401</t>
  </si>
  <si>
    <t>5-00021-191-02-11</t>
  </si>
  <si>
    <t>Luxor Omar</t>
  </si>
  <si>
    <t>2018-02-27 639 - Valmet Technologies, Inc   PPP HO (MP) (Valmet), Indirect procurement iPRO, Professional services, Other business services accepted by Mäkelä Henri</t>
  </si>
  <si>
    <t>LUNG TIN INTELLECTUAL PROPERTY AGENT LTD.</t>
  </si>
  <si>
    <t>CHAOYANG</t>
  </si>
  <si>
    <t>China</t>
  </si>
  <si>
    <t>ltbj@lungtin.com</t>
  </si>
  <si>
    <t>247629</t>
  </si>
  <si>
    <t>913357239300004237</t>
  </si>
  <si>
    <t>Zhang Jacob</t>
  </si>
  <si>
    <t>jacob.zhang@lungtin.com</t>
  </si>
  <si>
    <t>Wang Wesley;Zhang Curtis</t>
  </si>
  <si>
    <t>Zheng Nabao</t>
  </si>
  <si>
    <t>Wu Umy</t>
  </si>
  <si>
    <t>309165</t>
  </si>
  <si>
    <t>FI28037112</t>
  </si>
  <si>
    <t>Indirect procurement iPRO, Personnel, Leased workforce;Indirect procurement iPRO, Professional services, Testing, measurement &amp; inspection</t>
  </si>
  <si>
    <t>asiakaspalvelu</t>
  </si>
  <si>
    <t>asiakaspalvelu@kassavirtanen.fi</t>
  </si>
  <si>
    <t>2024-08-13 1001 - Infor LN (PAP), Indirect procurement iPRO, Professional services, Testing, measurement &amp; inspection accepted by Snedsböl Truls</t>
  </si>
  <si>
    <t>LUVIA</t>
  </si>
  <si>
    <t>Auri Jukka</t>
  </si>
  <si>
    <t>302207</t>
  </si>
  <si>
    <t>FI32369507</t>
  </si>
  <si>
    <t>Kylänpää Jouko</t>
  </si>
  <si>
    <t>jouko@kylanpaa.fi</t>
  </si>
  <si>
    <t>2021-09-28 1001 - Infor LN (P&amp;E), Energy, Indirect procurement iPRO, Professional services, Business consulting (Main category) accepted by Mäkelä Henri</t>
  </si>
  <si>
    <t>FRANKFURT AM MAIN</t>
  </si>
  <si>
    <t>316131</t>
  </si>
  <si>
    <t>DE310080874</t>
  </si>
  <si>
    <t>Polke Peter</t>
  </si>
  <si>
    <t>peter.polke@eu.kwm.com</t>
  </si>
  <si>
    <t>2023-07-06 1001 - Infor LN (COF) (Valmet), Indirect procurement iPRO, Professional services, Legal services (Main category) accepted by Snedsböl Truls</t>
  </si>
  <si>
    <t xml:space="preserve"> helsinki@krogerus.com</t>
  </si>
  <si>
    <t>103981</t>
  </si>
  <si>
    <t>FI09196660</t>
  </si>
  <si>
    <t>296345</t>
  </si>
  <si>
    <t>NL8532210706B01</t>
  </si>
  <si>
    <t>Steer Cameron</t>
  </si>
  <si>
    <t>cameron.steer@workiva.com</t>
  </si>
  <si>
    <t>2020-07-08 1001 - Infor LN (COF) (Valmet), Indirect procurement iPRO, Professional services, Business consulting (Main category) accepted by Mäkelä Henri</t>
  </si>
  <si>
    <t>f.hoffman@dr-prager.com</t>
  </si>
  <si>
    <t>107006</t>
  </si>
  <si>
    <t>DE130444404</t>
  </si>
  <si>
    <t>Hofmann Ferdinand</t>
  </si>
  <si>
    <t>f.hofmann@dr-prager.com</t>
  </si>
  <si>
    <t>INACTIVE Nothaft Julia</t>
  </si>
  <si>
    <t>314464</t>
  </si>
  <si>
    <t>NL815460193B01</t>
  </si>
  <si>
    <t>Meertens Bart</t>
  </si>
  <si>
    <t>bart_meertens@epam.com</t>
  </si>
  <si>
    <t>Stenbäck Kati;Borel Xavier</t>
  </si>
  <si>
    <t>2023-03-16 1001 - Infor LN (COF) (Valmet), Indirect procurement iPRO, Office IT, IT consulting (Main category) accepted by Tapiola Mika</t>
  </si>
  <si>
    <t>317220</t>
  </si>
  <si>
    <t>DE281315658</t>
  </si>
  <si>
    <t>Haines Alexander</t>
  </si>
  <si>
    <t>haines@notare-amgrueneburgpark.de</t>
  </si>
  <si>
    <t>2023-10-05 1001 - Infor LN (COF) (Valmet), Indirect procurement iPRO, Professional services, Legal services (Main category) accepted by Snedsböl Truls</t>
  </si>
  <si>
    <t>HAMBURG</t>
  </si>
  <si>
    <t>317248</t>
  </si>
  <si>
    <t>DE118931900</t>
  </si>
  <si>
    <t>Schuemann Katharina</t>
  </si>
  <si>
    <t>schuemann@notariat-ballindamm.de</t>
  </si>
  <si>
    <t>2023-10-06 1001 - Infor LN (COF) (Valmet), Indirect procurement iPRO, Professional services, Legal services (Main category) accepted by Snedsböl Truls</t>
  </si>
  <si>
    <t>RICHMOND</t>
  </si>
  <si>
    <t>230964</t>
  </si>
  <si>
    <t>GB160639118</t>
  </si>
  <si>
    <t>Navex</t>
  </si>
  <si>
    <t>ar@navex.com</t>
  </si>
  <si>
    <t>219548</t>
  </si>
  <si>
    <t>FI25202709</t>
  </si>
  <si>
    <t>Ernst &amp; Young</t>
  </si>
  <si>
    <t>PRAGUE 1</t>
  </si>
  <si>
    <t>Czech Republic</t>
  </si>
  <si>
    <t>226521</t>
  </si>
  <si>
    <t>CZ26705338</t>
  </si>
  <si>
    <t>186517</t>
  </si>
  <si>
    <t>FI10754578</t>
  </si>
  <si>
    <t>Lintulahti Minna</t>
  </si>
  <si>
    <t>minna.lintulahti@valonaintelligence.com</t>
  </si>
  <si>
    <t>35426</t>
  </si>
  <si>
    <t>368919358</t>
  </si>
  <si>
    <t>FI02202669</t>
  </si>
  <si>
    <t>Mäkelä Mauri</t>
  </si>
  <si>
    <t>Mauri.Makela@ttl.fi</t>
  </si>
  <si>
    <t>pauli.haukka@dnainternet.net</t>
  </si>
  <si>
    <t>120461</t>
  </si>
  <si>
    <t>FI11439588</t>
  </si>
  <si>
    <t>Haukka Pauli</t>
  </si>
  <si>
    <t>pauli.haukka@valmetpartners.com</t>
  </si>
  <si>
    <t>LIEBEFELD</t>
  </si>
  <si>
    <t>Tuikkala Miika</t>
  </si>
  <si>
    <t>307232</t>
  </si>
  <si>
    <t>CHE-112.349.119 MWST</t>
  </si>
  <si>
    <t xml:space="preserve">2022-09-22 Indirect procurement iPRO, Professional services, R&amp;D services &amp; materials (Main category) accepted by </t>
  </si>
  <si>
    <t>304376</t>
  </si>
  <si>
    <t>FI25897635</t>
  </si>
  <si>
    <t>Tanwar Subhash</t>
  </si>
  <si>
    <t>subhashtanwar@hcl.com</t>
  </si>
  <si>
    <t xml:space="preserve">2022-03-16 Indirect procurement iPRO, Office IT, IT consulting (Main category) accepted by </t>
  </si>
  <si>
    <t>111090</t>
  </si>
  <si>
    <t>FI11059606</t>
  </si>
  <si>
    <t>244145</t>
  </si>
  <si>
    <t>FI10491704</t>
  </si>
  <si>
    <t>Ranta Jouko</t>
  </si>
  <si>
    <t>jouko.ranta@bitville.com</t>
  </si>
  <si>
    <t>Kiiskilä Kaisu</t>
  </si>
  <si>
    <t>305141</t>
  </si>
  <si>
    <t>FI08781446</t>
  </si>
  <si>
    <t>Pääsky Timo</t>
  </si>
  <si>
    <t>timo.paasky@bbnet.fi</t>
  </si>
  <si>
    <t xml:space="preserve">2022-05-24 Indirect procurement iPRO, Office IT, IT consulting (Main category) accepted by </t>
  </si>
  <si>
    <t>MADISON</t>
  </si>
  <si>
    <t>32446</t>
  </si>
  <si>
    <t>Stiennon Beth</t>
  </si>
  <si>
    <t>bas@machinepatents.com</t>
  </si>
  <si>
    <t>VILNIUS</t>
  </si>
  <si>
    <t>Lithuania</t>
  </si>
  <si>
    <t xml:space="preserve"> vilnius@advantus.lt</t>
  </si>
  <si>
    <t>INACTIVE Ülesoo Juri</t>
  </si>
  <si>
    <t>286436</t>
  </si>
  <si>
    <t>LT100003221812</t>
  </si>
  <si>
    <t>Miezelis Arunas</t>
  </si>
  <si>
    <t>arunas@advantus.lt</t>
  </si>
  <si>
    <t>Net 21 days</t>
  </si>
  <si>
    <t>2018-05-09 FI310A - Valmet Automation Finland (AS), Indirect procurement iPRO, Personnel, Leased workforce (Main category) accepted by Mäkelä Henri</t>
  </si>
  <si>
    <t>eerika.skarp@attentio.fi</t>
  </si>
  <si>
    <t>250336</t>
  </si>
  <si>
    <t>368514461</t>
  </si>
  <si>
    <t>FI28333464</t>
  </si>
  <si>
    <t>PARIS</t>
  </si>
  <si>
    <t>316428</t>
  </si>
  <si>
    <t>FR10808297766</t>
  </si>
  <si>
    <t>Benna Nawale</t>
  </si>
  <si>
    <t>nawale.benna@dlapiper.com</t>
  </si>
  <si>
    <t>Ristola Petri</t>
  </si>
  <si>
    <t>2023-08-02 1001 - Infor LN (PAP), Indirect procurement iPRO, Professional services, Legal services (Main category) accepted by Snedsböl Truls</t>
  </si>
  <si>
    <t>info@softronic.se</t>
  </si>
  <si>
    <t>178031</t>
  </si>
  <si>
    <t>SE556249019201</t>
  </si>
  <si>
    <t>Gustavsson Roger</t>
  </si>
  <si>
    <t>roger.gustavsson@softronic.se</t>
  </si>
  <si>
    <t>2023-11-30 641 - CAP / CAM (SWE) (P&amp;E), Services, Automation engineering removed by Kiema Miika</t>
  </si>
  <si>
    <t>138990</t>
  </si>
  <si>
    <t>FI21970022</t>
  </si>
  <si>
    <t>Lompolo Miia</t>
  </si>
  <si>
    <t>MONTEVIDEO</t>
  </si>
  <si>
    <t>Uruguay</t>
  </si>
  <si>
    <t>Bochnia Sonza Priscila</t>
  </si>
  <si>
    <t>302234</t>
  </si>
  <si>
    <t>Stirling Brian</t>
  </si>
  <si>
    <t>brian.stirling@valmetpartners.com</t>
  </si>
  <si>
    <t>2023-06-16 643 - TBL (SWE) (PAP), Indirect procurement iPRO, Professional services, Business consulting accepted by Snedsböl Truls</t>
  </si>
  <si>
    <t>BRIDGEPORT</t>
  </si>
  <si>
    <t>linda.mcquain@steptoe-johnson.com</t>
  </si>
  <si>
    <t>Puranen Eero</t>
  </si>
  <si>
    <t>228559</t>
  </si>
  <si>
    <t xml:space="preserve">Antonini  Renato </t>
  </si>
  <si>
    <t>rantonini@Steptoe.com</t>
  </si>
  <si>
    <t>2023-02-23 1001 - Infor LN (PAP), Indirect procurement iPRO, Professional services, Legal services (Main category) accepted by Snedsböl Truls</t>
  </si>
  <si>
    <t>info@codemate.fi</t>
  </si>
  <si>
    <t>220200</t>
  </si>
  <si>
    <t>FI21194000</t>
  </si>
  <si>
    <t>Seppä Jarkko</t>
  </si>
  <si>
    <t>jarkko.seppa@codemate.com</t>
  </si>
  <si>
    <t>Oinonen Sami</t>
  </si>
  <si>
    <t>2023-03-08 SAP 949 - Fabrics Tampere (SER), Indirect procurement iPRO, Office IT, IT consulting (Main category) accepted by Tapiola Mika</t>
  </si>
  <si>
    <t>etunimi.sukunimi@jamk.fi</t>
  </si>
  <si>
    <t>3522</t>
  </si>
  <si>
    <t>540674637</t>
  </si>
  <si>
    <t>FI10065502</t>
  </si>
  <si>
    <t>INACTIVE Halmari Eero</t>
  </si>
  <si>
    <t>Kirvesmäki Jarmo</t>
  </si>
  <si>
    <t>VÄNERSBORG</t>
  </si>
  <si>
    <t>14717</t>
  </si>
  <si>
    <t>SE556545077101</t>
  </si>
  <si>
    <t>Indirect procurement iPRO, Marketing &amp; communication, Advertising &amp; branding;Indirect procurement iPRO, Personnel, Leased workforce;Indirect procurement iPRO, Professional services, Business consulting</t>
  </si>
  <si>
    <t>Sekund Börje</t>
  </si>
  <si>
    <t>borje@ekonomigruppen.com</t>
  </si>
  <si>
    <t>INACTIVE Linder Carina;Kiema Miika</t>
  </si>
  <si>
    <t>2024-05-21 1001 - Infor LN (P&amp;E), Fiber processing, Indirect procurement iPRO, Marketing &amp; communication, Advertising &amp; branding accepted by Snedsböl Truls</t>
  </si>
  <si>
    <t>310875</t>
  </si>
  <si>
    <t>FI27493255</t>
  </si>
  <si>
    <t>Loppinen Ville</t>
  </si>
  <si>
    <t>ville.loppinen@columbiaroad.com</t>
  </si>
  <si>
    <t>2023-06-01 FC - Infor M3 (FC) (FC), Indirect procurement iPRO, Office IT, IT consulting accepted by Tapiola Mika</t>
  </si>
  <si>
    <t>asiakaspalvelu@taitotalo.fi</t>
  </si>
  <si>
    <t>INACTIVE Marjamäki Tarja</t>
  </si>
  <si>
    <t>294272</t>
  </si>
  <si>
    <t>FI30083265</t>
  </si>
  <si>
    <t>myyntitalo@taitotalo.fi</t>
  </si>
  <si>
    <t>2020-02-21 210 - Valmet Power Finland (POWFIN) (P&amp;E), Indirect procurement iPRO, Personnel, Training &amp; people development (Main category) accepted by Mäkelä Henri</t>
  </si>
  <si>
    <t>221143</t>
  </si>
  <si>
    <t>FI19569504</t>
  </si>
  <si>
    <t>311028</t>
  </si>
  <si>
    <t>NL857253074B01</t>
  </si>
  <si>
    <t>Van Uden Franck</t>
  </si>
  <si>
    <t>Franck.vanUden@fieldfisher.com</t>
  </si>
  <si>
    <t>2022-12-16 1001 - Infor LN (COF) (Valmet), Indirect procurement iPRO, Professional services, Legal services (Main category) accepted by Snedsböl Truls</t>
  </si>
  <si>
    <t>VAAJAKOSKI</t>
  </si>
  <si>
    <t>markku.pykalainen@hyvinvoinninsuurlahettilaat.com</t>
  </si>
  <si>
    <t>226501</t>
  </si>
  <si>
    <t>FI30134501</t>
  </si>
  <si>
    <t>381396</t>
  </si>
  <si>
    <t>Tuloisela Leena</t>
  </si>
  <si>
    <t>314777</t>
  </si>
  <si>
    <t>FI25451887</t>
  </si>
  <si>
    <t>Suhonen Pekka</t>
  </si>
  <si>
    <t>pekka@wellpack.fi</t>
  </si>
  <si>
    <t>Vilén Mika</t>
  </si>
  <si>
    <t>2023-03-28 FC - Infor M3 (FC) (FC), Indirect procurement iPRO, Personnel, Leased workforce (Main category) accepted by Korpela Tuija</t>
  </si>
  <si>
    <t>DALLAS</t>
  </si>
  <si>
    <t>21973</t>
  </si>
  <si>
    <t>001667906</t>
  </si>
  <si>
    <t>Evans Ginger</t>
  </si>
  <si>
    <t>gingerevans@kpmg.com</t>
  </si>
  <si>
    <t>2023-09-21 1001 - Infor LN (COF) (Valmet), Indirect procurement iPRO, Professional services, Business consulting accepted by Snedsböl Truls</t>
  </si>
  <si>
    <t>info@signalpartners.fi</t>
  </si>
  <si>
    <t>16002</t>
  </si>
  <si>
    <t>FI01081471</t>
  </si>
  <si>
    <t>Pykäläinen Jussi</t>
  </si>
  <si>
    <t>jussi.pykalainen@signalpartners.fi</t>
  </si>
  <si>
    <t>Olivera Alba;Kivimäki Heini</t>
  </si>
  <si>
    <t>2021-02-24 642 - SER (SWE) (SER), Indirect procurement iPRO, Professional services, Business consulting (Main category) accepted by Wictorin Pär</t>
  </si>
  <si>
    <t>Salla-Huttunen Minna</t>
  </si>
  <si>
    <t>307323</t>
  </si>
  <si>
    <t>FI32392862</t>
  </si>
  <si>
    <t>Korosuo Ilkka</t>
  </si>
  <si>
    <t>ilkka.korosuo@eai.fi</t>
  </si>
  <si>
    <t>2022-09-23 1001 - Infor LN (COF) (Valmet), Indirect procurement iPRO, Professional services, Business consulting (Main category) accepted by Snedsböl Truls</t>
  </si>
  <si>
    <t>305063</t>
  </si>
  <si>
    <t>FI10023257</t>
  </si>
  <si>
    <t>Kajan Sami</t>
  </si>
  <si>
    <t>sami.kajan@pinja.com</t>
  </si>
  <si>
    <t>2022-05-13 SAP 949 - Fabrics Tampere (SER), Indirect procurement iPRO, Professional services, Business consulting accepted by Mäkelä Henri</t>
  </si>
  <si>
    <t>RIDGEFIELD</t>
  </si>
  <si>
    <t>ap@worldcc.com</t>
  </si>
  <si>
    <t>Puurula Tiina</t>
  </si>
  <si>
    <t>300813</t>
  </si>
  <si>
    <t>Indirect procurement iPRO, Professional services;Indirect procurement iPRO, Professional services, Business consulting</t>
  </si>
  <si>
    <t>Chandler Lucy</t>
  </si>
  <si>
    <t>lchandler@worldcc.com</t>
  </si>
  <si>
    <t>INACTIVE Abdelhamed Denise;INACTIVE Pelekanakis Evangelo</t>
  </si>
  <si>
    <t>2023-10-24 FC - Infor M3 (FC) (FC), Valmet FC Flow Control Spain, SL 512, Indirect procurement iPRO, Professional services, Business consulting accepted by Snedsböl Truls</t>
  </si>
  <si>
    <t>GRAZ</t>
  </si>
  <si>
    <t>Austria</t>
  </si>
  <si>
    <t>info@unycom.com</t>
  </si>
  <si>
    <t>Koskinen Marja-Liisa</t>
  </si>
  <si>
    <t>287685</t>
  </si>
  <si>
    <t>ATU50837803</t>
  </si>
  <si>
    <t>Indirect procurement iPRO, Office IT, Software licenses, Other IT;Indirect procurement iPRO, Professional services, Patent services</t>
  </si>
  <si>
    <t>Severijns Koen</t>
  </si>
  <si>
    <t>kseverijns@ipan.eu</t>
  </si>
  <si>
    <t>Malkasaari Ari</t>
  </si>
  <si>
    <t>2018-08-29 639 - Valmet Technologies, Inc   PPP HO (MP) (Valmet), Indirect procurement iPRO, Office IT, Software licenses, Other IT accepted by INACTIVE Vaiste Ismo</t>
  </si>
  <si>
    <t>WARSAW</t>
  </si>
  <si>
    <t>297816</t>
  </si>
  <si>
    <t>PL5272563257</t>
  </si>
  <si>
    <t>Indirect procurement iPRO, Personnel, Training &amp; people development;Indirect procurement iPRO, Professional services, Business consulting</t>
  </si>
  <si>
    <t>Wisniewski Marcin</t>
  </si>
  <si>
    <t>marcinwisniewski@kpmg.pl</t>
  </si>
  <si>
    <t>2021-10-14 PL348 - Valmet Automation Poland (AS), Indirect procurement iPRO, Personnel, Training &amp; people development accepted by Pilski Radosław</t>
  </si>
  <si>
    <t>contact@innotiimi.com</t>
  </si>
  <si>
    <t>19311</t>
  </si>
  <si>
    <t>539680942</t>
  </si>
  <si>
    <t>FI08534058</t>
  </si>
  <si>
    <t>emilia.saaristo@outlook.com</t>
  </si>
  <si>
    <t>304826</t>
  </si>
  <si>
    <t>FI32589585</t>
  </si>
  <si>
    <t>Indirect procurement iPRO, Personnel, Leased workforce;Indirect procurement iPRO, Professional services, Business consulting</t>
  </si>
  <si>
    <t>Saaristo Emilia</t>
  </si>
  <si>
    <t xml:space="preserve">2022-04-26 Indirect procurement iPRO, Personnel, Leased workforce accepted by </t>
  </si>
  <si>
    <t>CALI</t>
  </si>
  <si>
    <t>Colombia</t>
  </si>
  <si>
    <t>info@rerocol.com</t>
  </si>
  <si>
    <t>214793</t>
  </si>
  <si>
    <t>901072959-4</t>
  </si>
  <si>
    <t>Indirect procurement iPRO, Professional services;Indirect procurement iPRO, Professional services, Business consulting;Services, Automation engineering</t>
  </si>
  <si>
    <t>2020-03-31 FI310A - Valmet Automation Finland (AS), Services, Automation engineering accepted by INACTIVE Sirén Mikko Tapani</t>
  </si>
  <si>
    <t>ZAVENTEM</t>
  </si>
  <si>
    <t>311354</t>
  </si>
  <si>
    <t>BE0474429572</t>
  </si>
  <si>
    <t>Van Damme Arlindo</t>
  </si>
  <si>
    <t>arvandamme@deloitte.com</t>
  </si>
  <si>
    <t>Frisk Sami;Vasquez Francisco</t>
  </si>
  <si>
    <t>2023-01-10 1001 - Infor LN (COF) (Valmet), Indirect procurement iPRO, Office IT, IT consulting (Main category) accepted by Tapiola Mika</t>
  </si>
  <si>
    <t>77054</t>
  </si>
  <si>
    <t>Indirect procurement iPRO, Professional services, Legal services;Indirect procurement iPRO, Professional services, Patent services</t>
  </si>
  <si>
    <t>Chen Lisa</t>
  </si>
  <si>
    <t>LRBJ@lungtin.com</t>
  </si>
  <si>
    <t>2017-08-18 541 - USA SSP Production (BEL) (SER), Indirect procurement iPRO, Professional services, Legal services accepted by INACTIVE Bandy Paula</t>
  </si>
  <si>
    <t>312045</t>
  </si>
  <si>
    <t>FI28578226</t>
  </si>
  <si>
    <t>Olkkonen Juulia</t>
  </si>
  <si>
    <t>juulia.olkkonen@nordicwestoffice.com</t>
  </si>
  <si>
    <t>2023-02-02 1001 - Infor LN (COF) (Valmet), Indirect procurement iPRO, Professional services, Business consulting (Main category) accepted by Snedsböl Truls</t>
  </si>
  <si>
    <t>LITTLE FALLS</t>
  </si>
  <si>
    <t>CustomerCare@asme.org</t>
  </si>
  <si>
    <t>222755</t>
  </si>
  <si>
    <t>Chris Mahler</t>
  </si>
  <si>
    <t>mahlerc@asme.org</t>
  </si>
  <si>
    <t>2018-06-21 368 - Valmet (China) Co., Ltd. (SHA) (PAP), Indirect procurement iPRO, Professional services, Certification, standardization &amp; audits (Main category) accepted by INACTIVE Su Yanjing</t>
  </si>
  <si>
    <t>THESSALONIKI</t>
  </si>
  <si>
    <t>Greece</t>
  </si>
  <si>
    <t>certh@certh.gr</t>
  </si>
  <si>
    <t>224050</t>
  </si>
  <si>
    <t>EL099785242</t>
  </si>
  <si>
    <t>2021-12-22 1001 - Infor LN (P&amp;E), Energy, Indirect procurement iPRO, Professional services accepted by Mäkelä Henri</t>
  </si>
  <si>
    <t>SPIJKENISSE</t>
  </si>
  <si>
    <t>INACTIVE Valtanen Alexandra</t>
  </si>
  <si>
    <t>296524</t>
  </si>
  <si>
    <t>NL817569157B01</t>
  </si>
  <si>
    <t>de Vries Jos</t>
  </si>
  <si>
    <t>jos.vries@goltens.com</t>
  </si>
  <si>
    <t>2020-10-28 1001 - Infor LN (P&amp;E), Indirect procurement iPRO, Personnel, Leased workforce accepted by Mäkelä Henri</t>
  </si>
  <si>
    <t>HAMINA</t>
  </si>
  <si>
    <t>veli-jukka.antikainen@hotmail.com</t>
  </si>
  <si>
    <t>230808</t>
  </si>
  <si>
    <t>FI26826441</t>
  </si>
  <si>
    <t>Antikainen Jukka</t>
  </si>
  <si>
    <t>Viinikainen Jussi</t>
  </si>
  <si>
    <t>BUDAPEST</t>
  </si>
  <si>
    <t>Hungary</t>
  </si>
  <si>
    <t>225142</t>
  </si>
  <si>
    <t>HU24737870</t>
  </si>
  <si>
    <t>Montonen Sonja</t>
  </si>
  <si>
    <t>2020-10-20 1001 - Infor LN (P&amp;E), Indirect procurement iPRO, Professional services, Business consulting (Main category) accepted by Mäkelä Henri</t>
  </si>
  <si>
    <t>117480</t>
  </si>
  <si>
    <t>FR04329326896</t>
  </si>
  <si>
    <t>Slomski Michal</t>
  </si>
  <si>
    <t>mslomski@questel.com</t>
  </si>
  <si>
    <t>136425</t>
  </si>
  <si>
    <t>FI22040396</t>
  </si>
  <si>
    <t>Indirect procurement iPRO, Professional services;Indirect procurement iPRO, Professional services, Business consulting;Indirect procurement iPRO, Taxes and charges, Taxes</t>
  </si>
  <si>
    <t>Viji</t>
  </si>
  <si>
    <t>valmet@fi.ey.com</t>
  </si>
  <si>
    <t>INACTIVE Violita Anesya;Pakdeeyingyong Sophit</t>
  </si>
  <si>
    <t>2023-02-27 FC - Infor M3 (FC) (FC), Indirect procurement iPRO, Professional services, Business consulting (Main category) accepted by Snedsböl Truls</t>
  </si>
  <si>
    <t>14149</t>
  </si>
  <si>
    <t>FI16390218</t>
  </si>
  <si>
    <t xml:space="preserve">Puusola Tom </t>
  </si>
  <si>
    <t>tom.puusola@innofactor.com</t>
  </si>
  <si>
    <t>toimisto@eu.jll.com</t>
  </si>
  <si>
    <t>211382</t>
  </si>
  <si>
    <t>FI19616200</t>
  </si>
  <si>
    <t>Asiantuntijapalvelut</t>
  </si>
  <si>
    <t>kirjaamo@vtt.fi</t>
  </si>
  <si>
    <t>Poikonen Mari</t>
  </si>
  <si>
    <t>303084</t>
  </si>
  <si>
    <t>FI13883711</t>
  </si>
  <si>
    <t>Vuorenmaa Jari</t>
  </si>
  <si>
    <t>jari.vuorenmaa@imaction.fi</t>
  </si>
  <si>
    <t>2021-11-30 1001 - Infor LN (PAP), Indirect procurement iPRO, Personnel, Training &amp; people development (Main category) accepted by Korpela Tuija</t>
  </si>
  <si>
    <t>innolink@innolink.fi</t>
  </si>
  <si>
    <t>224906</t>
  </si>
  <si>
    <t>FI25499864</t>
  </si>
  <si>
    <t>pirjo.nikkila@hopeconsulting.fi</t>
  </si>
  <si>
    <t>234575</t>
  </si>
  <si>
    <t>FI21407125</t>
  </si>
  <si>
    <t>Nikkilä Pirjo</t>
  </si>
  <si>
    <t xml:space="preserve">Lloyd's Register EMEA Branch Office, Suomen </t>
  </si>
  <si>
    <t>23397</t>
  </si>
  <si>
    <t>FI02047048</t>
  </si>
  <si>
    <t>Indirect procurement iPRO, Professional services, Certification, standardization &amp; audits;Services, Automation engineering, Automation engineering</t>
  </si>
  <si>
    <t>2020-07-08 1001 - Infor LN (COF) (Valmet), Indirect procurement iPRO, Professional services, Certification, standardization &amp; audits (Main category) accepted by Mäkelä Henri</t>
  </si>
  <si>
    <t>Fiber-X</t>
  </si>
  <si>
    <t>LAPPEENRANTA</t>
  </si>
  <si>
    <t>Sillanpää Elina</t>
  </si>
  <si>
    <t>296904</t>
  </si>
  <si>
    <t>FI29833217</t>
  </si>
  <si>
    <t>Indirect procurement iPRO, Personnel, Training &amp; people development;Indirect procurement iPRO, Professional services, R&amp;D services &amp; materials</t>
  </si>
  <si>
    <t>Rikkinen Seppo</t>
  </si>
  <si>
    <t>seppo.rikkinen@valmetpartners.com</t>
  </si>
  <si>
    <t>INACTIVE Pietikäinen Reijo</t>
  </si>
  <si>
    <t>2021-03-02 FI310A - Valmet Automation Finland (AS), Indirect procurement iPRO, Personnel, Training &amp; people development accepted by Mäkelä Henri</t>
  </si>
  <si>
    <t>198279</t>
  </si>
  <si>
    <t xml:space="preserve">FI20873271 </t>
  </si>
  <si>
    <t>Indirect procurement iPRO, Personnel, Training &amp; people development;Services, Automation engineering, Automation engineering</t>
  </si>
  <si>
    <t>Hako-Rita Henrietta</t>
  </si>
  <si>
    <t>310438</t>
  </si>
  <si>
    <t>FI23993690</t>
  </si>
  <si>
    <t>Surakka Petri</t>
  </si>
  <si>
    <t>petri.surakka@fulvisol.com</t>
  </si>
  <si>
    <t>2024-08-15 FC - Infor M3 (FC) (FC), Valmet FC Finland Oy 310, Indirect procurement iPRO, Professional services, Business consulting accepted by Snedsböl Truls</t>
  </si>
  <si>
    <t>34848</t>
  </si>
  <si>
    <t>369653881</t>
  </si>
  <si>
    <t>FI17065644</t>
  </si>
  <si>
    <t>Saarimaa Ville</t>
  </si>
  <si>
    <t>ville.saarimaa@topanalytica.com</t>
  </si>
  <si>
    <t>Jones Day</t>
  </si>
  <si>
    <t>228551</t>
  </si>
  <si>
    <t>DE112010330</t>
  </si>
  <si>
    <t>Krebs Christian</t>
  </si>
  <si>
    <t>ckrebs@jonesday.com</t>
  </si>
  <si>
    <t>Schönberg Christer;Schönberg Christer</t>
  </si>
  <si>
    <t>2025-08-15 367 - Valmet Paper Technology (Xi’an) Co., Ltd. (XIA) (PAP) (PAP), Indirect procurement iPRO, Professional services, Legal services accepted by Qiu Huimin</t>
  </si>
  <si>
    <t>DUBLIN</t>
  </si>
  <si>
    <t>Ireland</t>
  </si>
  <si>
    <t>304637</t>
  </si>
  <si>
    <t>IE9696912K</t>
  </si>
  <si>
    <t>Macaulay Jonathan</t>
  </si>
  <si>
    <t>jmacaulay@glgroup.com</t>
  </si>
  <si>
    <t>Pyrrö Juho</t>
  </si>
  <si>
    <t>2023-09-02 FC - Infor M3 (FC) (FC), Valmet FC Finland Oy 310, Indirect procurement iPRO, Professional services, Business consulting accepted by Snedsböl Truls</t>
  </si>
  <si>
    <t>Nykänen Pasi</t>
  </si>
  <si>
    <t>306311</t>
  </si>
  <si>
    <t>FI32447245</t>
  </si>
  <si>
    <t>Rikkinen Antti</t>
  </si>
  <si>
    <t>antti.rikkinen@romify.io</t>
  </si>
  <si>
    <t>2023-11-08 FC - Infor M3 (FC) (FC), Valmet FC Finland Oy 310, Indirect procurement iPRO, Office IT, IT consulting accepted by Tapiola Mika</t>
  </si>
  <si>
    <t>NEW BERLIN</t>
  </si>
  <si>
    <t>jim@jameslowe.law</t>
  </si>
  <si>
    <t>INACTIVE Williams Susie</t>
  </si>
  <si>
    <t>292912</t>
  </si>
  <si>
    <t>Lowe James</t>
  </si>
  <si>
    <t>2019-12-04 580 - NA CORP OFFICE-MPNA (ATL) (Valmet), Indirect procurement iPRO, Professional services, Legal services accepted by INACTIVE Kowalchuk David</t>
  </si>
  <si>
    <t>INACTIVE Hilander Reija</t>
  </si>
  <si>
    <t>309948</t>
  </si>
  <si>
    <t>FI24920901</t>
  </si>
  <si>
    <t>Wiren Ulla-Maria</t>
  </si>
  <si>
    <t>ulla-maria.wiren@staffpoint.fi</t>
  </si>
  <si>
    <t>2022-10-13 1001 - Infor LN (COF) (Valmet), Indirect procurement iPRO, Personnel, Leased workforce (Main category) accepted by Korpela Tuija</t>
  </si>
  <si>
    <t>INACTIVE Koivisto Heidi</t>
  </si>
  <si>
    <t>303678</t>
  </si>
  <si>
    <t>FI30964169</t>
  </si>
  <si>
    <t>Abhisek Rahul</t>
  </si>
  <si>
    <t>rahul.abhisek@strategycoglobal.com</t>
  </si>
  <si>
    <t>INACTIVE Makkonen Nina</t>
  </si>
  <si>
    <t>2022-01-24 1001 - Infor LN (AS), Indirect procurement iPRO, Professional services, R&amp;D services &amp; materials (Main category) accepted by INACTIVE Mantere Mika</t>
  </si>
  <si>
    <t>info@taival.com</t>
  </si>
  <si>
    <t>285799</t>
  </si>
  <si>
    <t>FI28138685</t>
  </si>
  <si>
    <t>Hanf Michael</t>
  </si>
  <si>
    <t>michael.hanf@taival.com</t>
  </si>
  <si>
    <t>2018-03-13 637 - Valmet Technologies, Inc ROL (MP) (SER), Indirect procurement iPRO, Office IT, IT consulting (Main category) accepted by INACTIVE Vaiste Ismo</t>
  </si>
  <si>
    <t>128435</t>
  </si>
  <si>
    <t>401600408</t>
  </si>
  <si>
    <t>FI05709828</t>
  </si>
  <si>
    <t>Latomäki Sami</t>
  </si>
  <si>
    <t>sami.latomaki@veikonkone.fi</t>
  </si>
  <si>
    <t>SAN MIGUEL DE ESCAZÚ</t>
  </si>
  <si>
    <t>Costa Rica</t>
  </si>
  <si>
    <t>wilfredo.garcia@grupo-aplicaciones.com</t>
  </si>
  <si>
    <t>INACTIVE Blom-Juntunen Sanna</t>
  </si>
  <si>
    <t>285842</t>
  </si>
  <si>
    <t>3102744988</t>
  </si>
  <si>
    <t>Benitez Luis</t>
  </si>
  <si>
    <t>luis.benitez@grupo-aplicaciones.com</t>
  </si>
  <si>
    <t>Net 10 days</t>
  </si>
  <si>
    <t>Campos Michele</t>
  </si>
  <si>
    <t>2024-07-13 341 - Brazil Sorocaba 2008 (SOR) (SER), Indirect procurement iPRO, Professional services, Business consulting accepted by Ferreira Patricia Alexsandra</t>
  </si>
  <si>
    <t>papula@papula-nevinpat.com</t>
  </si>
  <si>
    <t>294258</t>
  </si>
  <si>
    <t>369322128</t>
  </si>
  <si>
    <t>FI02360982</t>
  </si>
  <si>
    <t>Yleinen Papula</t>
  </si>
  <si>
    <t>info@papula-nevinpat.com</t>
  </si>
  <si>
    <t>Verizon</t>
  </si>
  <si>
    <t>Puttonen Antti E</t>
  </si>
  <si>
    <t>302132</t>
  </si>
  <si>
    <t>FI16029182</t>
  </si>
  <si>
    <t>Pohjasmäki Mikko</t>
  </si>
  <si>
    <t>mikko.pohjasmaki@fi.verizon.com</t>
  </si>
  <si>
    <t>2021-09-24 1001 - Infor LN (COF) (Valmet), Indirect procurement iPRO, Professional services, Certification, standardization &amp; audits (Main category) accepted by Mäkelä Henri</t>
  </si>
  <si>
    <t>asiakaspalvelu@helsinki.chamber.fi</t>
  </si>
  <si>
    <t>17854</t>
  </si>
  <si>
    <t>FI11027110</t>
  </si>
  <si>
    <t>iil.finland@iil.com</t>
  </si>
  <si>
    <t>151847</t>
  </si>
  <si>
    <t>539774880</t>
  </si>
  <si>
    <t>FI20386721</t>
  </si>
  <si>
    <t>Kajava Ilona</t>
  </si>
  <si>
    <t>Ilona.Kajava@iil.com</t>
  </si>
  <si>
    <t>INACTIVE Hermonen Riikka</t>
  </si>
  <si>
    <t>298155</t>
  </si>
  <si>
    <t>DE279949643</t>
  </si>
  <si>
    <t>Mertel Peter</t>
  </si>
  <si>
    <t>peter.mertel@csagroup.org</t>
  </si>
  <si>
    <t>Toivonen Mila</t>
  </si>
  <si>
    <t>INACTIVE Lamminaho Antti;INACTIVE Anttila Jari</t>
  </si>
  <si>
    <t>2021-04-09 1001 - Infor LN (P&amp;E), Indirect procurement iPRO, Professional services, Certification, standardization &amp; audits (Main category) accepted by Mäkelä Henri</t>
  </si>
  <si>
    <t>318495</t>
  </si>
  <si>
    <t>FI15606179</t>
  </si>
  <si>
    <t>Rantanen Katri</t>
  </si>
  <si>
    <t>katri.rantanen@fellowmind.fi</t>
  </si>
  <si>
    <t>Burmeister Jari</t>
  </si>
  <si>
    <t>INACTIVE Boman Tino</t>
  </si>
  <si>
    <t>307339</t>
  </si>
  <si>
    <t>FR59790003453</t>
  </si>
  <si>
    <t>Focacci Filippo</t>
  </si>
  <si>
    <t>ffocacci@decisionbrain.com</t>
  </si>
  <si>
    <t>2022-09-26 1001 - Infor LN (SER), Indirect procurement iPRO, Professional services, R&amp;D services &amp; materials (Main category) accepted by Kiema Miika</t>
  </si>
  <si>
    <t>LISBON</t>
  </si>
  <si>
    <t>Portugal</t>
  </si>
  <si>
    <t>304427</t>
  </si>
  <si>
    <t>PT508129346</t>
  </si>
  <si>
    <t>Ferreira Pedro</t>
  </si>
  <si>
    <t>pedro.ferreira@izzdone.com</t>
  </si>
  <si>
    <t>INACTIVE Ylönen Saana</t>
  </si>
  <si>
    <t>300239</t>
  </si>
  <si>
    <t>FI31560844</t>
  </si>
  <si>
    <t>Ovtchinnikov Dmitri</t>
  </si>
  <si>
    <t>dmitri.ovtchinnikov@gmail.com</t>
  </si>
  <si>
    <t>2023-11-24 FC - Infor M3 (FC) (FC), Valmet FC Finland Oy 310, Indirect procurement iPRO, Professional services, R&amp;D services &amp; materials accepted by Kiema Miika</t>
  </si>
  <si>
    <t>HEIDENHEIM AN DER BRENZ</t>
  </si>
  <si>
    <t>office@lorenz-kollegen.com</t>
  </si>
  <si>
    <t>120274</t>
  </si>
  <si>
    <t>DE258038276</t>
  </si>
  <si>
    <t>2017-11-03 541 - USA SSP Production (BEL) (SER), Indirect procurement iPRO, Professional services, Legal services accepted by Payette-Martin Francois</t>
  </si>
  <si>
    <t>510843</t>
  </si>
  <si>
    <t>246555</t>
  </si>
  <si>
    <t>538136628</t>
  </si>
  <si>
    <t>FI18010653</t>
  </si>
  <si>
    <t>Suoranta Hanna</t>
  </si>
  <si>
    <t>hsu@as3.fi</t>
  </si>
  <si>
    <t>communications@castren.fi</t>
  </si>
  <si>
    <t>10086</t>
  </si>
  <si>
    <t>FI01036021</t>
  </si>
  <si>
    <t>Lukinmaa Sakari</t>
  </si>
  <si>
    <t>sakari.lukinmaa@castren.fi</t>
  </si>
  <si>
    <t>info@qk-karjalainen.fi</t>
  </si>
  <si>
    <t>29001</t>
  </si>
  <si>
    <t>FI10919870</t>
  </si>
  <si>
    <t>INACTIVE Maskonen Juuso</t>
  </si>
  <si>
    <t>Pitkänen Marja</t>
  </si>
  <si>
    <t>294694</t>
  </si>
  <si>
    <t>FI28626822</t>
  </si>
  <si>
    <t>Indirect procurement iPRO, Personnel, Training &amp; people development;Indirect procurement iPRO, Professional services;Indirect procurement iPRO, Professional services, Business consulting</t>
  </si>
  <si>
    <t>Pintilä Hippu</t>
  </si>
  <si>
    <t>hippu@kultahippuja.fi</t>
  </si>
  <si>
    <t>2021-02-19 1001 - Infor LN (P&amp;E), Indirect procurement iPRO, Professional services accepted by Mäkelä Henri</t>
  </si>
  <si>
    <t>tapio.saarinen@titako.fi</t>
  </si>
  <si>
    <t>34662</t>
  </si>
  <si>
    <t>539708800</t>
  </si>
  <si>
    <t>FI08512000</t>
  </si>
  <si>
    <t>Saarinen Tuija</t>
  </si>
  <si>
    <t>tuija.saarinen@sci.fi</t>
  </si>
  <si>
    <t>Korhonen Aapo</t>
  </si>
  <si>
    <t>SHEFFIELD</t>
  </si>
  <si>
    <t>137776</t>
  </si>
  <si>
    <t>GB439097618</t>
  </si>
  <si>
    <t>Ishaq Kal</t>
  </si>
  <si>
    <t>kishaq@meps.co.uk</t>
  </si>
  <si>
    <t>190847</t>
  </si>
  <si>
    <t>FI09227412</t>
  </si>
  <si>
    <t>fsf.asiakaspalvelu@visma.com</t>
  </si>
  <si>
    <t>2021-06-15 304 - LAE Production T3.4 (LAE) (SER), Indirect procurement iPRO, Professional services, Business consulting (Main category) accepted by Monprasit Kobporn</t>
  </si>
  <si>
    <t>247605</t>
  </si>
  <si>
    <t>FI17613372</t>
  </si>
  <si>
    <t>Manninen Jani</t>
  </si>
  <si>
    <t>jani.manninen@momentdigital.fi</t>
  </si>
  <si>
    <t>JÄRVENPÄÄ</t>
  </si>
  <si>
    <t>11923</t>
  </si>
  <si>
    <t>FI17436206</t>
  </si>
  <si>
    <t>2024-11-28 FC - Infor M3 (FC) (FC), Valmet FC Finland Oy 310, Indirect procurement iPRO, Personnel, Training &amp; people development accepted by Korpela Tuija</t>
  </si>
  <si>
    <t>SINGAPORE</t>
  </si>
  <si>
    <t>Singapore</t>
  </si>
  <si>
    <t>311536</t>
  </si>
  <si>
    <t>S2670138D</t>
  </si>
  <si>
    <t>Devanesan ALAGARATNAM JOSEPH</t>
  </si>
  <si>
    <t>ajdevanesan@yahoo.com</t>
  </si>
  <si>
    <t>Pynnönen Janne</t>
  </si>
  <si>
    <t>2023-01-27 1001 - Infor LN (COF) (Valmet), Indirect procurement iPRO, Professional services, Business consulting (Main category) accepted by Snedsböl Truls</t>
  </si>
  <si>
    <t>294400</t>
  </si>
  <si>
    <t>FI09747426</t>
  </si>
  <si>
    <t>Markku Reijo</t>
  </si>
  <si>
    <t>reijo.markku@designreform.fi</t>
  </si>
  <si>
    <t>2020-03-06 210 - Valmet Power Finland (POWFIN) (P&amp;E), Indirect procurement iPRO, Professional services, Business consulting (Main category) accepted by Mäkelä Henri</t>
  </si>
  <si>
    <t>sahkoinfo@sahkoinfo.fi |</t>
  </si>
  <si>
    <t>33266</t>
  </si>
  <si>
    <t>FI01965904</t>
  </si>
  <si>
    <t>Sähköinfo</t>
  </si>
  <si>
    <t>sahkoinfo@sahkoinfo.fi</t>
  </si>
  <si>
    <t>Leppänen Kari</t>
  </si>
  <si>
    <t>Saarnio Toni</t>
  </si>
  <si>
    <t>317246</t>
  </si>
  <si>
    <t>FI33679806</t>
  </si>
  <si>
    <t>Hupli Juhani</t>
  </si>
  <si>
    <t>juhani.hupli@gmail.com</t>
  </si>
  <si>
    <t>2023-10-06 1001 - Infor LN (AS), Indirect procurement iPRO, Professional services, Business consulting (Main category) accepted by Snedsböl Truls</t>
  </si>
  <si>
    <t>BERLIN</t>
  </si>
  <si>
    <t>121810</t>
  </si>
  <si>
    <t>DE112008745</t>
  </si>
  <si>
    <t>Weiss Sabine</t>
  </si>
  <si>
    <t>sabine.weiss@hengeler.com</t>
  </si>
  <si>
    <t>HYVINKÄÄ</t>
  </si>
  <si>
    <t>jukka.brunfeldt@strs.fi</t>
  </si>
  <si>
    <t>234645</t>
  </si>
  <si>
    <t>FI27055474</t>
  </si>
  <si>
    <t>Brunfeldt Jukka</t>
  </si>
  <si>
    <t>2021-06-11 1001 - Infor LN (PAP), Indirect procurement iPRO, Office IT, IT consulting (Main category) accepted by Tapiola Mika</t>
  </si>
  <si>
    <t>227877</t>
  </si>
  <si>
    <t>FI17478940</t>
  </si>
  <si>
    <t>TUNIS MONTPLAISIR</t>
  </si>
  <si>
    <t>Tunisia</t>
  </si>
  <si>
    <t>mohsen.hosni@yahoo.fr</t>
  </si>
  <si>
    <t>INACTIVE Bordas Dominique</t>
  </si>
  <si>
    <t>285754</t>
  </si>
  <si>
    <t>363028396</t>
  </si>
  <si>
    <t>HOSNI Mohsen</t>
  </si>
  <si>
    <t>2018-03-07 FR284 - Valmet Automation SAS (France) (AS), Indirect procurement iPRO, Professional services, Business consulting (Main category) accepted by INACTIVE Wick Frank</t>
  </si>
  <si>
    <t>310279</t>
  </si>
  <si>
    <t>FI26478002</t>
  </si>
  <si>
    <t>Perkiö Petri</t>
  </si>
  <si>
    <t>petri.perkio@privaon.com</t>
  </si>
  <si>
    <t>Leppälä Jussi</t>
  </si>
  <si>
    <t>2022-10-20 1001 - Infor LN (COF) (Valmet), Indirect procurement iPRO, Office IT, IT consulting (Main category) accepted by Tapiola Mika</t>
  </si>
  <si>
    <t>Sutela Saija</t>
  </si>
  <si>
    <t>314513</t>
  </si>
  <si>
    <t>FI26814336</t>
  </si>
  <si>
    <t>Koljonen Hannu</t>
  </si>
  <si>
    <t>hannu.koljonen@juhaconsulting.fi</t>
  </si>
  <si>
    <t>2023-03-21 1001 - Infor LN (PAP), Indirect procurement iPRO, Professional services, R&amp;D services &amp; materials (Main category) accepted by Kiema Miika</t>
  </si>
  <si>
    <t>MIRAFLORES</t>
  </si>
  <si>
    <t>Peru</t>
  </si>
  <si>
    <t>193529</t>
  </si>
  <si>
    <t>Moyano Angel</t>
  </si>
  <si>
    <t>angel.moyano@exenser.com</t>
  </si>
  <si>
    <t>Pereira Wellington</t>
  </si>
  <si>
    <t>2023-02-10 1001 - Infor LN (SER), Indirect procurement iPRO, Professional services, Business consulting accepted by Snedsböl Truls</t>
  </si>
  <si>
    <t>BRUSSELS</t>
  </si>
  <si>
    <t>297725</t>
  </si>
  <si>
    <t>BE0544212164</t>
  </si>
  <si>
    <t>POUGET CATHERINE</t>
  </si>
  <si>
    <t>cpouget@jonesday.com</t>
  </si>
  <si>
    <t>2020-10-28 1001 - Infor LN (COF) (Valmet), Indirect procurement iPRO, Professional services, Legal services (Main category) accepted by Mäkelä Henri</t>
  </si>
  <si>
    <t>TÜV SÜD</t>
  </si>
  <si>
    <t>info@tuev-sued.de</t>
  </si>
  <si>
    <t>62328</t>
  </si>
  <si>
    <t>DE129484218</t>
  </si>
  <si>
    <t>Beier Petra</t>
  </si>
  <si>
    <t>Petra.Beier@tuev-sued.de</t>
  </si>
  <si>
    <t>Niemi Hannu Tapio</t>
  </si>
  <si>
    <t>2020-07-02 1001 - Infor LN (PAP), Indirect procurement iPRO, Professional services, Certification, standardization &amp; audits accepted by Mäkelä Henri</t>
  </si>
  <si>
    <t>elina@kasvupsykologi.fi</t>
  </si>
  <si>
    <t>INACTIVE Kontio Marja</t>
  </si>
  <si>
    <t>295824</t>
  </si>
  <si>
    <t>FI28532586</t>
  </si>
  <si>
    <t>Lillstrang Elina</t>
  </si>
  <si>
    <t>Pennanen Satu;INACTIVE Kontio Marja</t>
  </si>
  <si>
    <t>2020-06-15 631 - Valmet Technologies, Inc PM (MP) (PAP), Indirect procurement iPRO, Personnel, Training &amp; people development (Main category) accepted by Mäkelä Henri</t>
  </si>
  <si>
    <t>Eurofins Scientific</t>
  </si>
  <si>
    <t>invoices@eurofins.fi</t>
  </si>
  <si>
    <t>148859</t>
  </si>
  <si>
    <t>FI21741879</t>
  </si>
  <si>
    <t>Ovaska Karo</t>
  </si>
  <si>
    <t>KaroOvaska@eurofins.fi</t>
  </si>
  <si>
    <t>2021-01-05 634 - Valmet Technologies, Inc FIB Pori (MP) (P&amp;E), Indirect procurement iPRO, Professional services, R&amp;D services &amp; materials accepted by Mäkelä Henri</t>
  </si>
  <si>
    <t>292275</t>
  </si>
  <si>
    <t>304661</t>
  </si>
  <si>
    <t>FI06960811</t>
  </si>
  <si>
    <t>info@staria.com</t>
  </si>
  <si>
    <t xml:space="preserve">2022-04-11 Indirect procurement iPRO, Office IT, IT consulting (Main category) accepted by </t>
  </si>
  <si>
    <t>Thomson Reuters</t>
  </si>
  <si>
    <t>289096</t>
  </si>
  <si>
    <t>GB900548743</t>
  </si>
  <si>
    <t>- -</t>
  </si>
  <si>
    <t>taxAcctng.taebobilling@thomsonreuters.com</t>
  </si>
  <si>
    <t>2018-12-28 1001 - Infor LN (SER), Indirect procurement iPRO, Professional services, Business consulting (Main category) accepted by Mäkelä Henri</t>
  </si>
  <si>
    <t>OSLO</t>
  </si>
  <si>
    <t>Norway</t>
  </si>
  <si>
    <t>314398</t>
  </si>
  <si>
    <t>986198113</t>
  </si>
  <si>
    <t>Piipponen Harri</t>
  </si>
  <si>
    <t>harri.piipponen@axpo.com</t>
  </si>
  <si>
    <t>Aalto Janne</t>
  </si>
  <si>
    <t>2023-03-13 1001 - Infor LN (COF) (Valmet), Indirect procurement iPRO, Professional services, Business consulting (Main category) accepted by Snedsböl Truls</t>
  </si>
  <si>
    <t>emmi.holja@tbc.fi</t>
  </si>
  <si>
    <t>92495</t>
  </si>
  <si>
    <t>FI19660930</t>
  </si>
  <si>
    <t>Indirect procurement iPRO, Marketing &amp; communication, Membership &amp; association fees;Indirect procurement iPRO, Personnel, Training &amp; people development</t>
  </si>
  <si>
    <t>Valonkallio Petteri</t>
  </si>
  <si>
    <t>petteri.valonkallio@tbc.fi</t>
  </si>
  <si>
    <t>INACTIVE Siivonen Jenni</t>
  </si>
  <si>
    <t>Fisher International</t>
  </si>
  <si>
    <t>NORWALK</t>
  </si>
  <si>
    <t>info@fisheri.com</t>
  </si>
  <si>
    <t>16096</t>
  </si>
  <si>
    <t>2020-04-24 210 - Valmet Power Finland (POWFIN) (P&amp;E), Indirect procurement iPRO, Professional services, Business consulting (Main category) accepted by Mäkelä Henri</t>
  </si>
  <si>
    <t>304700</t>
  </si>
  <si>
    <t>FI17689887</t>
  </si>
  <si>
    <t>Kääriäinen</t>
  </si>
  <si>
    <t>kaariainen@me.fi</t>
  </si>
  <si>
    <t>Tapiola Mika;Wilén Anni</t>
  </si>
  <si>
    <t>HÄMEENLINNA</t>
  </si>
  <si>
    <t>info@finn-tarkastus.fi</t>
  </si>
  <si>
    <t>Härö Ilkka</t>
  </si>
  <si>
    <t>298044</t>
  </si>
  <si>
    <t>FI25755055</t>
  </si>
  <si>
    <t>Laaksonen Jukka</t>
  </si>
  <si>
    <t>jukka.laaksonen@finn-tarkastus.fi</t>
  </si>
  <si>
    <t>INACTIVE Ravattinen Ulla</t>
  </si>
  <si>
    <t>2020-11-25 631 - Valmet Technologies, Inc PM (MP) (PAP), Indirect procurement iPRO, Personnel, Training &amp; people development (Main category) accepted by Mäkelä Henri</t>
  </si>
  <si>
    <t>BORÅS</t>
  </si>
  <si>
    <t>info@combinum.com</t>
  </si>
  <si>
    <t>118466</t>
  </si>
  <si>
    <t>SE556585495601</t>
  </si>
  <si>
    <t>RALEIGH</t>
  </si>
  <si>
    <t>24548</t>
  </si>
  <si>
    <t>Byrd Med (Medwick)</t>
  </si>
  <si>
    <t>medbyrd@ncsu.edu</t>
  </si>
  <si>
    <t>39771</t>
  </si>
  <si>
    <t>FI07995776</t>
  </si>
  <si>
    <t>Pitkänen Martti</t>
  </si>
  <si>
    <t>martti.pitkanen@softemis.com</t>
  </si>
  <si>
    <t>2022-03-24 1001 - Infor LN (PAP), Indirect procurement iPRO, Office IT, IT consulting (Main category) accepted by Tapiola Mika</t>
  </si>
  <si>
    <t>SHANGHAI</t>
  </si>
  <si>
    <t>295049</t>
  </si>
  <si>
    <t>91310000729351059X</t>
  </si>
  <si>
    <t>Indirect procurement iPRO, Professional services, Testing, measurement &amp; inspection;Indirect procurement iPRO, Professional services, Testing, measurement &amp; inspection, R&amp;D services &amp; materials</t>
  </si>
  <si>
    <t>Indirect procurement iPRO, Professional services, Testing, measurement &amp; inspection, R&amp;D services &amp; materials</t>
  </si>
  <si>
    <t>Hou Min</t>
  </si>
  <si>
    <t>mhou@ramboll.com</t>
  </si>
  <si>
    <t>2023-08-08 1001 - Infor LN (PAP), Indirect procurement iPRO, Professional services, Testing, measurement &amp; inspection accepted by Snedsböl Truls</t>
  </si>
  <si>
    <t>31120</t>
  </si>
  <si>
    <t>401614748</t>
  </si>
  <si>
    <t>FI05905255</t>
  </si>
  <si>
    <t>Ruusila Viivi</t>
  </si>
  <si>
    <t>posti@laineip.fi</t>
  </si>
  <si>
    <t>ESSEN</t>
  </si>
  <si>
    <t>service@cis-inspector.com</t>
  </si>
  <si>
    <t>Varkila Marja</t>
  </si>
  <si>
    <t>298329</t>
  </si>
  <si>
    <t>DE285158083</t>
  </si>
  <si>
    <t>Indirect procurement iPRO, Professional services, Business consulting;Indirect procurement iPRO, Professional services, Certification, standardization &amp; audits</t>
  </si>
  <si>
    <t>Kölbl Dirk</t>
  </si>
  <si>
    <t>koelbl@cis-inspector.com</t>
  </si>
  <si>
    <t>2023-08-23 1001 - Infor LN (P&amp;E), Energy, Indirect procurement iPRO, Professional services, Certification, standardization &amp; audits (Main category) accepted by Snedsböl Truls</t>
  </si>
  <si>
    <t>247526</t>
  </si>
  <si>
    <t>FI23669743</t>
  </si>
  <si>
    <t>Haavisto Anna</t>
  </si>
  <si>
    <t>anna.haavisto@roihulaw.fi</t>
  </si>
  <si>
    <t>117839</t>
  </si>
  <si>
    <t>FI07069641</t>
  </si>
  <si>
    <t>Fondia Suomi</t>
  </si>
  <si>
    <t>fondia@fondia.com</t>
  </si>
  <si>
    <t>303619</t>
  </si>
  <si>
    <t>457259219940</t>
  </si>
  <si>
    <t>Chen Bruce</t>
  </si>
  <si>
    <t>bruce.chen@lr.org</t>
  </si>
  <si>
    <t>Puttonen Juho</t>
  </si>
  <si>
    <t>2022-01-19 1001 - Infor LN (COF) (Valmet), Indirect procurement iPRO, Professional services, Certification, standardization &amp; audits (Main category) accepted by Mäkelä Henri</t>
  </si>
  <si>
    <t>info@poolia.se</t>
  </si>
  <si>
    <t>133155</t>
  </si>
  <si>
    <t>SE663000086401</t>
  </si>
  <si>
    <t>Indirect procurement iPRO, Personnel;Indirect procurement iPRO, Personnel, Assessment services;Indirect procurement iPRO, Personnel, Leased workforce</t>
  </si>
  <si>
    <t>Svenson Fredrik</t>
  </si>
  <si>
    <t>fredrik.svenson@uniflex.se</t>
  </si>
  <si>
    <t>INACTIVE Linder Carina</t>
  </si>
  <si>
    <t>2023-09-08 FC - Infor M3 (FC) (FC), Valmet FC Sweden AB 371, Indirect procurement iPRO, Personnel, Assessment services accepted by Mäkelä Henri</t>
  </si>
  <si>
    <t>KÄRJENNIEMI</t>
  </si>
  <si>
    <t>eeva.niskavaara@enconsulting.fi</t>
  </si>
  <si>
    <t>INACTIVE Asikainen Virpi</t>
  </si>
  <si>
    <t>245484</t>
  </si>
  <si>
    <t>FI17695566</t>
  </si>
  <si>
    <t>Niskavaara Eeva</t>
  </si>
  <si>
    <t>2023-04-05 1001 - Infor LN (SER), Indirect procurement iPRO, Personnel, Training &amp; people development (Main category) accepted by Korpela Tuija</t>
  </si>
  <si>
    <t>NAZARETH</t>
  </si>
  <si>
    <t>Israel</t>
  </si>
  <si>
    <t>info@nazdaq-it.com</t>
  </si>
  <si>
    <t>25731</t>
  </si>
  <si>
    <t>512467820</t>
  </si>
  <si>
    <t>Indirect procurement iPRO, Office IT, IT consulting;Indirect procurement iPRO, Office IT, Software licenses</t>
  </si>
  <si>
    <t>Sayegh Ehab</t>
  </si>
  <si>
    <t>ehab@nazdaq-it.com</t>
  </si>
  <si>
    <t>2019-01-29 1001 - Infor LN (SER), Indirect procurement iPRO, Office IT, IT consulting (Main category) accepted by INACTIVE Vaiste Ismo</t>
  </si>
  <si>
    <t xml:space="preserve">Peili Consulting Oy </t>
  </si>
  <si>
    <t>toimisto@integro.fi</t>
  </si>
  <si>
    <t>19453</t>
  </si>
  <si>
    <t>369281977</t>
  </si>
  <si>
    <t>FI01312524</t>
  </si>
  <si>
    <t>Rämö-Korpinen Taina</t>
  </si>
  <si>
    <t>tramo@peiliconsulting.fi</t>
  </si>
  <si>
    <t>2024-08-07 Basware - Basware purchasing (Valmet), Indirect procurement iPRO, Personnel, Training &amp; people development accepted by Korpela Tuija</t>
  </si>
  <si>
    <t>17672</t>
  </si>
  <si>
    <t>Jameel Hasan</t>
  </si>
  <si>
    <t>jameel@ncsu.edu</t>
  </si>
  <si>
    <t>2022-09-26 1001 - Infor LN (COF) (Valmet), Indirect procurement iPRO, Personnel, Training &amp; people development (Main category) accepted by Korpela Tuija</t>
  </si>
  <si>
    <t>GRENOBLE CEDEX 9</t>
  </si>
  <si>
    <t>1271</t>
  </si>
  <si>
    <t>FR61775594815</t>
  </si>
  <si>
    <t>Cacciuottolo Celine</t>
  </si>
  <si>
    <t>celine.cacciuottolo@webctp.com</t>
  </si>
  <si>
    <t>Tikkakoski Päivi</t>
  </si>
  <si>
    <t>2023-10-12 1001 - Infor LN (AS), Indirect procurement iPRO, Professional services, R&amp;D services &amp; materials (Main category) accepted by Kiema Miika</t>
  </si>
  <si>
    <t>310293</t>
  </si>
  <si>
    <t>FI30038333</t>
  </si>
  <si>
    <t>myynti</t>
  </si>
  <si>
    <t>myynti@tst-partner.fi</t>
  </si>
  <si>
    <t xml:space="preserve">2022-10-21 Indirect procurement iPRO, Personnel, Training &amp; people development accepted by </t>
  </si>
  <si>
    <t>58108</t>
  </si>
  <si>
    <t>FI10657452</t>
  </si>
  <si>
    <t>Haarala kirsi</t>
  </si>
  <si>
    <t>kirsi.haarala@kiwa.com</t>
  </si>
  <si>
    <t>3E Company</t>
  </si>
  <si>
    <t>HONG KONG</t>
  </si>
  <si>
    <t>Vallanen Heikki</t>
  </si>
  <si>
    <t>308898</t>
  </si>
  <si>
    <t xml:space="preserve">2022-10-03 Indirect procurement iPRO, Professional services, R&amp;D services &amp; materials (Main category) accepted by </t>
  </si>
  <si>
    <t>TÜV Rheinland AG</t>
  </si>
  <si>
    <t>TÜV Rheinland Akademie GmbH</t>
  </si>
  <si>
    <t>evelyn.schott@de.tuv.com</t>
  </si>
  <si>
    <t>74109</t>
  </si>
  <si>
    <t>DE811294742</t>
  </si>
  <si>
    <t>225432</t>
  </si>
  <si>
    <t>mikaela.funck@pbi.fi</t>
  </si>
  <si>
    <t>244033</t>
  </si>
  <si>
    <t>FI17187676</t>
  </si>
  <si>
    <t>Funck Mikaela</t>
  </si>
  <si>
    <t>2023-07-06 1001 - Infor LN (P&amp;E), Energy, Indirect procurement iPRO, Professional services accepted by Snedsböl Truls</t>
  </si>
  <si>
    <t>jesse.jokinen@apprix.fi</t>
  </si>
  <si>
    <t>105343</t>
  </si>
  <si>
    <t>FI17211541</t>
  </si>
  <si>
    <t>info@nbforum.fi</t>
  </si>
  <si>
    <t>217366</t>
  </si>
  <si>
    <t>FI33073468</t>
  </si>
  <si>
    <t>Kangas Janne</t>
  </si>
  <si>
    <t>janne.kangas@nbforum.com</t>
  </si>
  <si>
    <t>370499</t>
  </si>
  <si>
    <t>MANNHEIM</t>
  </si>
  <si>
    <t>Roos-Haavisto Minna</t>
  </si>
  <si>
    <t>315212</t>
  </si>
  <si>
    <t>DE185593620</t>
  </si>
  <si>
    <t>Wesch Arno</t>
  </si>
  <si>
    <t>a.wesch@rebleklose.de</t>
  </si>
  <si>
    <t>Ojansuu Hanna</t>
  </si>
  <si>
    <t>2023-04-27 210 - Valmet Power Finland (POWFIN) (P&amp;E), Indirect procurement iPRO, Professional services, Patent services (Main category) accepted by Snedsböl Truls</t>
  </si>
  <si>
    <t>130597</t>
  </si>
  <si>
    <t>FI10154281</t>
  </si>
  <si>
    <t>Tamk info</t>
  </si>
  <si>
    <t>tamk.myyntilaskutus@certia.fi</t>
  </si>
  <si>
    <t>info@borenius.com</t>
  </si>
  <si>
    <t>58691</t>
  </si>
  <si>
    <t>FI01034608</t>
  </si>
  <si>
    <t>INACTIVE Puupponen Riikka</t>
  </si>
  <si>
    <t>302131</t>
  </si>
  <si>
    <t>FI06693901</t>
  </si>
  <si>
    <t>Anttila Olli</t>
  </si>
  <si>
    <t>olli.anttila@kornferry.com</t>
  </si>
  <si>
    <t>2021-09-24 1001 - Infor LN (COF) (Valmet), Indirect procurement iPRO, Professional services, Business consulting (Main category) accepted by Mäkelä Henri</t>
  </si>
  <si>
    <t>TOKYO</t>
  </si>
  <si>
    <t>Japan</t>
  </si>
  <si>
    <t>itohpat@itohpat.co.jp</t>
  </si>
  <si>
    <t>19704</t>
  </si>
  <si>
    <t>T7010005037798</t>
  </si>
  <si>
    <t>Itoh Tadashige</t>
  </si>
  <si>
    <t>Ohashi Yohei</t>
  </si>
  <si>
    <t>INACTIVE Penttinen Maria</t>
  </si>
  <si>
    <t>315937</t>
  </si>
  <si>
    <t>FI21273147</t>
  </si>
  <si>
    <t>Forsberg Tuula</t>
  </si>
  <si>
    <t>tuula.forsberg@Ryan.com</t>
  </si>
  <si>
    <t>2023-06-26 FC - Infor M3 (FC) (FC), Indirect procurement iPRO, Professional services, Business consulting (Main category) accepted by Snedsböl Truls</t>
  </si>
  <si>
    <t>info@houston-inc.com</t>
  </si>
  <si>
    <t>289008</t>
  </si>
  <si>
    <t>FI18089904</t>
  </si>
  <si>
    <t>Sipilä Tommi</t>
  </si>
  <si>
    <t>tommi.sipila@houston-inc.com</t>
  </si>
  <si>
    <t>2018-12-18 639 - Valmet Technologies, Inc   PPP HO (MP) (Valmet), Indirect procurement iPRO, Office IT, IT consulting (Main category) accepted by INACTIVE Vaiste Ismo</t>
  </si>
  <si>
    <t>Keinänen Arja</t>
  </si>
  <si>
    <t>284236</t>
  </si>
  <si>
    <t>FI28493492</t>
  </si>
  <si>
    <t>Indirect procurement iPRO, Professional services, R&amp;D services &amp; materials;Services, Automation engineering, Automation engineering</t>
  </si>
  <si>
    <t>Salopuro Antti</t>
  </si>
  <si>
    <t>salopuro.antti@gmail.com</t>
  </si>
  <si>
    <t>2017-11-02 FI310A - Valmet Automation Finland (AS), Indirect procurement iPRO, Professional services, R&amp;D services &amp; materials (Main category) accepted by Mäkelä Henri</t>
  </si>
  <si>
    <t>Eränen Anu</t>
  </si>
  <si>
    <t>306752</t>
  </si>
  <si>
    <t>FI27957873</t>
  </si>
  <si>
    <t xml:space="preserve">Pursiainen Aleksi </t>
  </si>
  <si>
    <t>aleksi.pursiainen@solidplan.fi</t>
  </si>
  <si>
    <t>2022-09-20 1001 - Infor LN (COF) (Valmet), Indirect procurement iPRO, Professional services, Legal services (Main category) accepted by Snedsböl Truls</t>
  </si>
  <si>
    <t>BEIJING</t>
  </si>
  <si>
    <t>215522</t>
  </si>
  <si>
    <t>91510000711888755R</t>
  </si>
  <si>
    <t>Cheng Wei</t>
  </si>
  <si>
    <t>trademark04@chofn.cn</t>
  </si>
  <si>
    <t>Zhang Curtis</t>
  </si>
  <si>
    <t>2023-03-17 FC - Infor M3 (FC) (FC), Indirect procurement iPRO, Professional services, Legal services accepted by Mäkelä Henri</t>
  </si>
  <si>
    <t>info@hpp.fi</t>
  </si>
  <si>
    <t>45919</t>
  </si>
  <si>
    <t>FI02241385</t>
  </si>
  <si>
    <t>2022-03-29 1001 - Infor LN (PAP), Indirect procurement iPRO, Professional services, Legal services (Main category) accepted by Mäkelä Henri</t>
  </si>
  <si>
    <t>LAUKAA</t>
  </si>
  <si>
    <t>INACTIVE Jerkku Paavo</t>
  </si>
  <si>
    <t>316465</t>
  </si>
  <si>
    <t>FI29204963</t>
  </si>
  <si>
    <t>Rosvall Pirjo</t>
  </si>
  <si>
    <t>pirjo.rosvall@proopus.fi</t>
  </si>
  <si>
    <t>2023-08-07 1001 - Infor LN (PAP), Indirect procurement iPRO, Professional services, Certification, standardization &amp; audits (Main category) accepted by Snedsböl Truls</t>
  </si>
  <si>
    <t>FLÖRSHEIM</t>
  </si>
  <si>
    <t>info@zeroacc.de</t>
  </si>
  <si>
    <t>Ruohonen Pertti</t>
  </si>
  <si>
    <t>293075</t>
  </si>
  <si>
    <t>DE320232684</t>
  </si>
  <si>
    <t>Indirect procurement iPRO, Professional services, Business consulting;Services, Project management, Project management</t>
  </si>
  <si>
    <t>Mohr Robert</t>
  </si>
  <si>
    <t>robert.mohr@zeroacc.de</t>
  </si>
  <si>
    <t>2021-02-10 631 - Valmet Technologies, Inc PM (MP) (PAP), Services, Project management, Project management accepted by INACTIVE Mantere Mika</t>
  </si>
  <si>
    <t>WASHINGTON</t>
  </si>
  <si>
    <t>307980</t>
  </si>
  <si>
    <t xml:space="preserve">2022-09-30 Indirect procurement iPRO, Professional services, R&amp;D services &amp; materials (Main category) accepted by </t>
  </si>
  <si>
    <t>finance@ibfd.org</t>
  </si>
  <si>
    <t>286928</t>
  </si>
  <si>
    <t>415226075</t>
  </si>
  <si>
    <t>NL002952956B01</t>
  </si>
  <si>
    <t>Invoice department</t>
  </si>
  <si>
    <t>info@ibfd.org</t>
  </si>
  <si>
    <t>2023-09-04 1001 - Infor LN (COF) (Valmet), Indirect procurement iPRO, Professional services, Business consulting (Main category) accepted by Snedsböl Truls</t>
  </si>
  <si>
    <t>302914</t>
  </si>
  <si>
    <t>Adix Daniel</t>
  </si>
  <si>
    <t>dadix@prescouter.com</t>
  </si>
  <si>
    <t>Mertamo Maria</t>
  </si>
  <si>
    <t>2021-11-17 1001 - Infor LN (P&amp;E), Energy, Indirect procurement iPRO, Professional services, Business consulting (Main category) accepted by Mäkelä Henri</t>
  </si>
  <si>
    <t>Saario Ari</t>
  </si>
  <si>
    <t>288931</t>
  </si>
  <si>
    <t>FI29329563</t>
  </si>
  <si>
    <t>Indirect procurement iPRO, Professional services, Business consulting, R&amp;D services &amp; materials</t>
  </si>
  <si>
    <t>Jokinen Jaakko</t>
  </si>
  <si>
    <t>jaakko.jokinen@jay-partners.com</t>
  </si>
  <si>
    <t>2018-12-12 1001 - Infor LN (SER), Indirect procurement iPRO, Professional services, Business consulting, R&amp;D services &amp; materials (Main category) accepted by Mäkelä Henri</t>
  </si>
  <si>
    <t>310724</t>
  </si>
  <si>
    <t>FI23786931</t>
  </si>
  <si>
    <t>Kauppi Risto</t>
  </si>
  <si>
    <t>risto.kauppi@ruggedtooling.com</t>
  </si>
  <si>
    <t>Mäkelä Satu</t>
  </si>
  <si>
    <t>2022-11-21 1001 - Infor LN (AS), Indirect procurement iPRO, Professional services, R&amp;D services &amp; materials (Main category) accepted by Kiema Miika</t>
  </si>
  <si>
    <t>WASHINGTON DC</t>
  </si>
  <si>
    <t>131293</t>
  </si>
  <si>
    <t>Jaffe Michael</t>
  </si>
  <si>
    <t>michael.jaffe@pillsburylaw.com</t>
  </si>
  <si>
    <t>Auffant Tony</t>
  </si>
  <si>
    <t>WÄDENSWIL</t>
  </si>
  <si>
    <t>innovation@rentouch.ch</t>
  </si>
  <si>
    <t>299272</t>
  </si>
  <si>
    <t>CHE322701704</t>
  </si>
  <si>
    <t>Wandfluh Silvio</t>
  </si>
  <si>
    <t>silvio.wandfluh@rentouch.ch</t>
  </si>
  <si>
    <t>INACTIVE Guimaraes Eva</t>
  </si>
  <si>
    <t>2021-03-23 1001 - Infor LN (COF) (Valmet), Indirect procurement iPRO, Professional services, Business consulting (Main category) accepted by Mäkelä Henri</t>
  </si>
  <si>
    <t>mail@kasznarleonados.com</t>
  </si>
  <si>
    <t>221382</t>
  </si>
  <si>
    <t>Esteves Victor</t>
  </si>
  <si>
    <t>victor.esteves@kasznarleonardos.com</t>
  </si>
  <si>
    <t>info@laatukeskus.fi</t>
  </si>
  <si>
    <t>32814</t>
  </si>
  <si>
    <t>FI05924077</t>
  </si>
  <si>
    <t>KYRÖSKOSKI</t>
  </si>
  <si>
    <t>306179</t>
  </si>
  <si>
    <t>FI18668973</t>
  </si>
  <si>
    <t xml:space="preserve">Ranta Ari-Pekka </t>
  </si>
  <si>
    <t>ari-pekka.ranta@testnova.com</t>
  </si>
  <si>
    <t>Muotio Toni</t>
  </si>
  <si>
    <t>2023-10-11 FC - Infor M3 (FC) (FC), Valmet FC Finland Oy 310, Indirect procurement iPRO, Professional services, R&amp;D services &amp; materials accepted by Snedsböl Truls</t>
  </si>
  <si>
    <t>292082</t>
  </si>
  <si>
    <t>GB245903556</t>
  </si>
  <si>
    <t>Lindqvist Daniel</t>
  </si>
  <si>
    <t>Daniel.Lindqvist@clarksons.com</t>
  </si>
  <si>
    <t>INACTIVE Kurkioja Elina</t>
  </si>
  <si>
    <t>2019-10-08 1001 - Infor LN (COF) (Valmet), Indirect procurement iPRO, Professional services, Business consulting (Main category) accepted by Mäkelä Henri</t>
  </si>
  <si>
    <t>SEOUL</t>
  </si>
  <si>
    <t>Korea, Republic of</t>
  </si>
  <si>
    <t>mail@oori.co.kr</t>
  </si>
  <si>
    <t>153868</t>
  </si>
  <si>
    <t>CHO Chul Hyun</t>
  </si>
  <si>
    <t>cho@oori.co.kr</t>
  </si>
  <si>
    <t>INACTIVE Lee HyeYeon</t>
  </si>
  <si>
    <t>2017-08-18 541 - USA SSP Production (BEL) (SER), Indirect procurement iPRO, Professional services, Legal services (Main category) accepted by Payette-Martin Francois</t>
  </si>
  <si>
    <t>antti.syvaniemi@houston-analytics.com</t>
  </si>
  <si>
    <t>228657</t>
  </si>
  <si>
    <t>FI25741841</t>
  </si>
  <si>
    <t xml:space="preserve">Syväniemi Antti </t>
  </si>
  <si>
    <t>info@pohto.fi</t>
  </si>
  <si>
    <t>24669</t>
  </si>
  <si>
    <t>FI09327499</t>
  </si>
  <si>
    <t>304516</t>
  </si>
  <si>
    <t>FI27917978</t>
  </si>
  <si>
    <t>Lindfors Suvi</t>
  </si>
  <si>
    <t>suvi@lumoa.me</t>
  </si>
  <si>
    <t>2022-03-29 1001 - Infor LN (COF) (Valmet), Indirect procurement iPRO, Office IT, IT consulting (Main category) accepted by Tapiola Mika</t>
  </si>
  <si>
    <t>oulun.yliopisto@oulu.fi</t>
  </si>
  <si>
    <t>26847</t>
  </si>
  <si>
    <t>368905050</t>
  </si>
  <si>
    <t>FI02458955</t>
  </si>
  <si>
    <t>303778</t>
  </si>
  <si>
    <t>SE559268033301</t>
  </si>
  <si>
    <t>van den Berg Daan</t>
  </si>
  <si>
    <t>d.vandenberg@emakina.nl</t>
  </si>
  <si>
    <t>Liukkonen Marko;Nykänen Pasi</t>
  </si>
  <si>
    <t>2022-02-02 1001 - Infor LN (COF) (Valmet), Indirect procurement iPRO, Office IT, IT consulting (Main category) accepted by Tapiola Mika</t>
  </si>
  <si>
    <t>27124</t>
  </si>
  <si>
    <t>FI15442338</t>
  </si>
  <si>
    <t>Laskutus</t>
  </si>
  <si>
    <t xml:space="preserve">info@groth.eu </t>
  </si>
  <si>
    <t>147011</t>
  </si>
  <si>
    <t>SE916642393001</t>
  </si>
  <si>
    <t>Groth Head Office</t>
  </si>
  <si>
    <t>info@groth.eu</t>
  </si>
  <si>
    <t>taraz.kanti-paul@abitata.com</t>
  </si>
  <si>
    <t>227777</t>
  </si>
  <si>
    <t xml:space="preserve">FI26311624 </t>
  </si>
  <si>
    <t xml:space="preserve">IAMIP Sverige AB </t>
  </si>
  <si>
    <t>SUNDBYBERG</t>
  </si>
  <si>
    <t>info@iamip.com</t>
  </si>
  <si>
    <t>INACTIVE Johansson Roger J</t>
  </si>
  <si>
    <t>286612</t>
  </si>
  <si>
    <t>SE556906934601</t>
  </si>
  <si>
    <t>Milovanovic Aleksandar</t>
  </si>
  <si>
    <t>aleksandar@iamip.se</t>
  </si>
  <si>
    <t>2018-05-23 641 - CAP / CAM (SWE) (P&amp;E), Indirect procurement iPRO, Professional services, Patent services (Main category) accepted by Snedsböl Truls</t>
  </si>
  <si>
    <t xml:space="preserve">Kajaanin Ammattikorkeakoulu Oy </t>
  </si>
  <si>
    <t>KAJAANI</t>
  </si>
  <si>
    <t>kaanin.amk@kamk.fi</t>
  </si>
  <si>
    <t>230706</t>
  </si>
  <si>
    <t xml:space="preserve">FI25536004 </t>
  </si>
  <si>
    <t>Karjalainen Jaana</t>
  </si>
  <si>
    <t>jaana.karjalainen@kamk.fi</t>
  </si>
  <si>
    <t>EDINBURGH</t>
  </si>
  <si>
    <t>INACTIVE Mandell Marjariitta</t>
  </si>
  <si>
    <t>306226</t>
  </si>
  <si>
    <t>GB865211825</t>
  </si>
  <si>
    <t>Gibbs Edward</t>
  </si>
  <si>
    <t>edward.gibbs@woodmac.com</t>
  </si>
  <si>
    <t>INACTIVE Mäntynen Antti</t>
  </si>
  <si>
    <t>2022-08-26 631 - Valmet Technologies, Inc PM (MP) (PAP), Indirect procurement iPRO, Professional services, Business consulting (Main category) accepted by Mäkelä Henri</t>
  </si>
  <si>
    <t>Alteryx</t>
  </si>
  <si>
    <t>INACTIVE Haikonen Anne</t>
  </si>
  <si>
    <t>293364</t>
  </si>
  <si>
    <t>GB197353569</t>
  </si>
  <si>
    <t>Lallmahomed Mohsin</t>
  </si>
  <si>
    <t>mlallmahomed@alteryx.com</t>
  </si>
  <si>
    <t>2020-01-13 1001 - Infor LN (COF) (Valmet), Indirect procurement iPRO, Office IT, IT consulting (Main category) accepted by Tapiola Mika</t>
  </si>
  <si>
    <t>304707</t>
  </si>
  <si>
    <t>FI19051502</t>
  </si>
  <si>
    <t>Schlutter katja</t>
  </si>
  <si>
    <t>katja.schlutter@gtt.net</t>
  </si>
  <si>
    <t xml:space="preserve">2022-04-13 Indirect procurement iPRO, Office IT, IT consulting (Main category) accepted by </t>
  </si>
  <si>
    <t>MILAN</t>
  </si>
  <si>
    <t>301795</t>
  </si>
  <si>
    <t>IT11751570968</t>
  </si>
  <si>
    <t>de Campo Paolo</t>
  </si>
  <si>
    <t>paolo.decampo@d-techpaper.com</t>
  </si>
  <si>
    <t>Simionato Stefano</t>
  </si>
  <si>
    <t xml:space="preserve">2021-08-31 Indirect procurement iPRO, Professional services, Business consulting (Main category) accepted by </t>
  </si>
  <si>
    <t>645035</t>
  </si>
  <si>
    <t>Raleigh</t>
  </si>
  <si>
    <t>26185</t>
  </si>
  <si>
    <t>Heinämäki Reijo</t>
  </si>
  <si>
    <t>GERETSRIED</t>
  </si>
  <si>
    <t>info@sbh4.de</t>
  </si>
  <si>
    <t>292269</t>
  </si>
  <si>
    <t>DE314432033</t>
  </si>
  <si>
    <t>Harrison Stephen</t>
  </si>
  <si>
    <t>sbh@sbh4.de</t>
  </si>
  <si>
    <t>2019-10-18 FI310A - Valmet Automation Finland (AS), Indirect procurement iPRO, Professional services, Business consulting (Main category) accepted by Mäkelä Henri</t>
  </si>
  <si>
    <t>315247</t>
  </si>
  <si>
    <t>SE559074776101</t>
  </si>
  <si>
    <t>Nordkvist Patrik</t>
  </si>
  <si>
    <t>patrik@forsaljningschefen.se</t>
  </si>
  <si>
    <t>2023-05-03 1001 - Infor LN (COF) (Valmet), Indirect procurement iPRO, Professional services, Business consulting (Main category) accepted by Snedsböl Truls</t>
  </si>
  <si>
    <t>DELOITTE TOUCHE TOHMATSU INDIA LLP</t>
  </si>
  <si>
    <t>GURUGRAM</t>
  </si>
  <si>
    <t>K G Saravanan</t>
  </si>
  <si>
    <t>310908</t>
  </si>
  <si>
    <t>Ahuja Vaibhav</t>
  </si>
  <si>
    <t>vaibahuja@deloitte.com</t>
  </si>
  <si>
    <t>G Inbarajan</t>
  </si>
  <si>
    <t>2022-12-06 307 - Gurgaon, India (GUR, P&amp;E) (P&amp;E), Indirect procurement iPRO, Professional services, Business consulting (Main category) accepted by Kohli Manmeet</t>
  </si>
  <si>
    <t>Szczepanski Tobiasz</t>
  </si>
  <si>
    <t>315167</t>
  </si>
  <si>
    <t>FI32647706</t>
  </si>
  <si>
    <t>Sihvonen Jari</t>
  </si>
  <si>
    <t>jari.sihvonen@catling.fi</t>
  </si>
  <si>
    <t>2023-04-25 FC - Infor M3 (FC) (FC), Indirect procurement iPRO, Personnel, Training &amp; people development (Main category) accepted by Korpela Tuija</t>
  </si>
  <si>
    <t>HELSINGIN YLIOPISTO</t>
  </si>
  <si>
    <t>Mäkinen Mika J</t>
  </si>
  <si>
    <t>17901</t>
  </si>
  <si>
    <t>FI03134717</t>
  </si>
  <si>
    <t>Pietikäinen Janna</t>
  </si>
  <si>
    <t>janna.pietikainen@helsinki.fi</t>
  </si>
  <si>
    <t>2023-11-08 1001 - Infor LN (SER), Indirect procurement iPRO, Professional services, R&amp;D services &amp; materials (Main category) accepted by Kiema Miika</t>
  </si>
  <si>
    <t>DARMSTADT</t>
  </si>
  <si>
    <t>pmv@papier.tu-darmstadt.de</t>
  </si>
  <si>
    <t>238583</t>
  </si>
  <si>
    <t>DE111608628</t>
  </si>
  <si>
    <t>Vesala Marja</t>
  </si>
  <si>
    <t>2023-05-19 1001 - Infor LN (PAP), Indirect procurement iPRO, Professional services, R&amp;D services &amp; materials accepted by Kiema Miika</t>
  </si>
  <si>
    <t>mail@bocoip.com</t>
  </si>
  <si>
    <t>11437</t>
  </si>
  <si>
    <t>651382491</t>
  </si>
  <si>
    <t>FI10370590</t>
  </si>
  <si>
    <t>mail</t>
  </si>
  <si>
    <t>2022-03-16 1001 - Infor LN (P&amp;E), Energy, Indirect procurement iPRO, Professional services, Patent services (Main category) accepted by Mäkelä Henri</t>
  </si>
  <si>
    <t>50948</t>
  </si>
  <si>
    <t>FI17670115</t>
  </si>
  <si>
    <t>Länsisalo Harri</t>
  </si>
  <si>
    <t>hlansisalo@gmail.com</t>
  </si>
  <si>
    <t>306817</t>
  </si>
  <si>
    <t xml:space="preserve">2022-09-21 Indirect procurement iPRO, Professional services, R&amp;D services &amp; materials (Main category) accepted by </t>
  </si>
  <si>
    <t>318092</t>
  </si>
  <si>
    <t>DE282640201</t>
  </si>
  <si>
    <t>Johannsen Andre</t>
  </si>
  <si>
    <t>Johannsen.andre@hotmail.com</t>
  </si>
  <si>
    <t>2023-11-03 1001 - Infor LN (COF) (Valmet), Indirect procurement iPRO, Office IT, IT consulting (Main category) accepted by Tapiola Mika</t>
  </si>
  <si>
    <t xml:space="preserve">KPMG Advisory </t>
  </si>
  <si>
    <t>296137</t>
  </si>
  <si>
    <t>PL5272548878</t>
  </si>
  <si>
    <t>Majster Michal</t>
  </si>
  <si>
    <t>mmajster@kpmg.pl</t>
  </si>
  <si>
    <t>2020-06-25 1001 - Infor LN (COF) (Valmet), Indirect procurement iPRO, Professional services, Business consulting (Main category) accepted by Mäkelä Henri</t>
  </si>
  <si>
    <t>CARY</t>
  </si>
  <si>
    <t>284758</t>
  </si>
  <si>
    <t>lpal@ncsu.edu</t>
  </si>
  <si>
    <t>2017-12-14 580 - NA CORP OFFICE-MPNA (ATL) (Valmet), Indirect procurement iPRO, Professional services, Other business services accepted by INACTIVE Kowalchuk David</t>
  </si>
  <si>
    <t>info@academicwork.fi</t>
  </si>
  <si>
    <t>Iitti Mikko</t>
  </si>
  <si>
    <t>242762</t>
  </si>
  <si>
    <t>FI27336217</t>
  </si>
  <si>
    <t>Indirect procurement iPRO, Personnel, Leased workforce;Services, R&amp;D engineering, R&amp;D engineering;Services, Site management and services</t>
  </si>
  <si>
    <t>Woodward Joonatan</t>
  </si>
  <si>
    <t>joonatan.woodward@academicwork.fi</t>
  </si>
  <si>
    <t xml:space="preserve">2020-05-19 Indirect procurement iPRO, Personnel, Leased workforce removed by </t>
  </si>
  <si>
    <t>395399</t>
  </si>
  <si>
    <t>DUBAI</t>
  </si>
  <si>
    <t>United Arab Emirates</t>
  </si>
  <si>
    <t>INACTIVE Tsusoff Anu</t>
  </si>
  <si>
    <t>43692</t>
  </si>
  <si>
    <t>100032622100003</t>
  </si>
  <si>
    <t>Loyd Enuan</t>
  </si>
  <si>
    <t>e.lloyd@tamimi.com</t>
  </si>
  <si>
    <t>2023-06-26 1001 - Infor LN (P&amp;E), Energy, Indirect procurement iPRO, Professional services, Legal services (Main category) accepted by Snedsböl Truls</t>
  </si>
  <si>
    <t>PORI</t>
  </si>
  <si>
    <t>302796</t>
  </si>
  <si>
    <t>Aalto Maija</t>
  </si>
  <si>
    <t>maija.aalto@monikulttuuriyhdistys.fi</t>
  </si>
  <si>
    <t>2021-11-09 1001 - Infor LN (P&amp;E), Wood and Pulp Handling, Indirect procurement iPRO, Personnel, Training &amp; people development (Main category) accepted by Mäkelä Henri</t>
  </si>
  <si>
    <t>DUBLIN 2</t>
  </si>
  <si>
    <t>294477</t>
  </si>
  <si>
    <t>IE9646088A</t>
  </si>
  <si>
    <t>Cunneen Eoin</t>
  </si>
  <si>
    <t>eoincunneen@fod.ie</t>
  </si>
  <si>
    <t xml:space="preserve">2022-05-25 Indirect procurement iPRO, Professional services, Legal services (Main category) accepted by </t>
  </si>
  <si>
    <t>302029</t>
  </si>
  <si>
    <t>927718227</t>
  </si>
  <si>
    <t>Kaksonen Suvi</t>
  </si>
  <si>
    <t>suvi@cemasys.com</t>
  </si>
  <si>
    <t>2021-09-15 1001 - Infor LN (COF) (Valmet), Indirect procurement iPRO, Professional services, Business consulting (Main category) accepted by Mäkelä Henri</t>
  </si>
  <si>
    <t>645264</t>
  </si>
  <si>
    <t>cnormand@logelbach-avocats.com</t>
  </si>
  <si>
    <t>236437</t>
  </si>
  <si>
    <t>FR09533105888</t>
  </si>
  <si>
    <t>Normand Clotilde</t>
  </si>
  <si>
    <t>2025-05-28 FC - Infor M3 (FC) (FC), Valmet FC France SAS 106, Indirect procurement iPRO, Professional services, Legal services (Main category) accepted by Snedsböl Truls</t>
  </si>
  <si>
    <t>TIKKAKOSKI</t>
  </si>
  <si>
    <t>ismo.makinen@improvepaperboard.fi</t>
  </si>
  <si>
    <t>228519</t>
  </si>
  <si>
    <t>FI26003787</t>
  </si>
  <si>
    <t xml:space="preserve">Mäkinen Ismo </t>
  </si>
  <si>
    <t>Puhakka Virpi</t>
  </si>
  <si>
    <t>310648</t>
  </si>
  <si>
    <t>FI30869049</t>
  </si>
  <si>
    <t>Ståhle Anna</t>
  </si>
  <si>
    <t>anna.stahle@nodrama.fi</t>
  </si>
  <si>
    <t>2022-11-14 1001 - Infor LN (COF) (Valmet), Indirect procurement iPRO, Professional services, Business consulting (Main category) accepted by Snedsböl Truls</t>
  </si>
  <si>
    <t xml:space="preserve">Saranen Consulting Oy </t>
  </si>
  <si>
    <t>laskutus@barona.fi</t>
  </si>
  <si>
    <t>Huhtanen Vesa</t>
  </si>
  <si>
    <t>234672</t>
  </si>
  <si>
    <t xml:space="preserve">FI25883065 </t>
  </si>
  <si>
    <t>Pietarinen Aino</t>
  </si>
  <si>
    <t>aino.pietarinen@saranen.fi</t>
  </si>
  <si>
    <t>Miesmaa Petra</t>
  </si>
  <si>
    <t>2023-06-14 1001 - Infor LN (AS), Indirect procurement iPRO, Personnel, Training &amp; people development (Main category) accepted by Korpela Tuija</t>
  </si>
  <si>
    <t>CARNAXIDE</t>
  </si>
  <si>
    <t>315671</t>
  </si>
  <si>
    <t>PT505289385</t>
  </si>
  <si>
    <t>Orfão Fernando</t>
  </si>
  <si>
    <t>fernando.orfao@colt.net</t>
  </si>
  <si>
    <t>Puranen Terho</t>
  </si>
  <si>
    <t>2023-06-02 1001 - Infor LN (PAP), Indirect procurement iPRO, Office IT, IT consulting (Main category) accepted by Tapiola Mika</t>
  </si>
  <si>
    <t>Hänninen Petri</t>
  </si>
  <si>
    <t>306209</t>
  </si>
  <si>
    <t>FI26306446</t>
  </si>
  <si>
    <t>Tiainen Risto</t>
  </si>
  <si>
    <t>risto.tiainen@lab.fi</t>
  </si>
  <si>
    <t>Lahtinen Mika M</t>
  </si>
  <si>
    <t>2023-05-12 1001 - Infor LN (P&amp;E), Energy, Indirect procurement iPRO, Professional services accepted by Snedsböl Truls</t>
  </si>
  <si>
    <t>ari.jaatinen@suunnittelukymppi.fi</t>
  </si>
  <si>
    <t>246815</t>
  </si>
  <si>
    <t>FI01010833</t>
  </si>
  <si>
    <t>Indirect procurement iPRO, Professional services, Business consulting;Services, Automation engineering, Automation engineering</t>
  </si>
  <si>
    <t>Huovila Jyrki</t>
  </si>
  <si>
    <t>314851</t>
  </si>
  <si>
    <t>NL857356926B01</t>
  </si>
  <si>
    <t>de Wilde Rik</t>
  </si>
  <si>
    <t>rik.dewilde@findest.eu</t>
  </si>
  <si>
    <t>2023-04-03 1001 - Infor LN (PAP), Indirect procurement iPRO, Professional services, R&amp;D services &amp; materials (Main category) accepted by Kiema Miika</t>
  </si>
  <si>
    <t>286914</t>
  </si>
  <si>
    <t>IE3463813IH</t>
  </si>
  <si>
    <t>Arnault Lena</t>
  </si>
  <si>
    <t>l.arnault@de.coretechnologie.com</t>
  </si>
  <si>
    <t>2018-06-15 639 - Valmet Technologies, Inc   PPP HO (MP) (Valmet), Indirect procurement iPRO, Office IT, IT consulting (Main category) accepted by INACTIVE Vaiste Ismo</t>
  </si>
  <si>
    <t>NASHVILLE</t>
  </si>
  <si>
    <t>Joensuu Mari</t>
  </si>
  <si>
    <t>310714</t>
  </si>
  <si>
    <t>Saarela Juha</t>
  </si>
  <si>
    <t>jsaarela@southwesterncoaching.com</t>
  </si>
  <si>
    <t>2022-11-18 1001 - Infor LN (AS), Indirect procurement iPRO, Personnel, Training &amp; people development (Main category) accepted by INACTIVE Kowalchuk David</t>
  </si>
  <si>
    <t>Crédit Agricole</t>
  </si>
  <si>
    <t>115602</t>
  </si>
  <si>
    <t>SE516401974601</t>
  </si>
  <si>
    <t>cabi</t>
  </si>
  <si>
    <t>CACIB.Guarantees.SupportFlowProcessing@ca-cib.com</t>
  </si>
  <si>
    <t>KOLKATA</t>
  </si>
  <si>
    <t>287165</t>
  </si>
  <si>
    <t>Bhattacharya Punarbasu</t>
  </si>
  <si>
    <t>punarbasu.b@gmail.com</t>
  </si>
  <si>
    <t>2018-07-06 210 - Valmet Power Finland (POWFIN) (P&amp;E), Indirect procurement iPRO, Professional services, Business consulting (Main category) accepted by Mäkelä Henri</t>
  </si>
  <si>
    <t>303736</t>
  </si>
  <si>
    <t>FI28392341</t>
  </si>
  <si>
    <t>Niemi Jarkko</t>
  </si>
  <si>
    <t>jarkko@rokmind.fi</t>
  </si>
  <si>
    <t>2022-01-27 636 - Valmet Technologies, Inc MIL PER (MP) (SER), Indirect procurement iPRO, Personnel, Training &amp; people development (Main category) accepted by Korpela Tuija</t>
  </si>
  <si>
    <t>204447</t>
  </si>
  <si>
    <t xml:space="preserve">FI20207199 </t>
  </si>
  <si>
    <t>Närhi Mari</t>
  </si>
  <si>
    <t>asiakaspalvelu@professio.fi</t>
  </si>
  <si>
    <t>2020-09-14 210 - Valmet Power Finland (POWFIN) (P&amp;E), Indirect procurement iPRO, Personnel, Training &amp; people development (Main category) accepted by Mäkelä Henri</t>
  </si>
  <si>
    <t>Paldanius Kimmo</t>
  </si>
  <si>
    <t>318430</t>
  </si>
  <si>
    <t>FI30863253</t>
  </si>
  <si>
    <t>Rautiainen Emilia</t>
  </si>
  <si>
    <t>emilia@arkiconsulting.fi</t>
  </si>
  <si>
    <t>Frisk Sami;INACTIVE Järvinen Janne</t>
  </si>
  <si>
    <t>2023-11-30 1001 - Infor LN (COF) (Valmet), Indirect procurement iPRO, Professional services, Business consulting (Main category) accepted by Snedsböl Truls</t>
  </si>
  <si>
    <t>hankensse@hankensse.fi</t>
  </si>
  <si>
    <t>146050</t>
  </si>
  <si>
    <t>369271254</t>
  </si>
  <si>
    <t>FI15669516</t>
  </si>
  <si>
    <t>Röllich Michael</t>
  </si>
  <si>
    <t>michael.rollich@hankensse.fi</t>
  </si>
  <si>
    <t>2025-05-14 Basware - Basware purchasing (Valmet), Indirect procurement iPRO, Personnel, Training &amp; people development accepted by Korpela Tuija</t>
  </si>
  <si>
    <t>INACTIVE Kokkonen Annina</t>
  </si>
  <si>
    <t>314381</t>
  </si>
  <si>
    <t>FI27532234</t>
  </si>
  <si>
    <t>Indirect procurement iPRO, Personnel, Training &amp; people development;Indirect procurement iPRO, Professional services, Certification, standardization &amp; audits, R&amp;D services &amp; materials</t>
  </si>
  <si>
    <t>Jaatinen Juhana</t>
  </si>
  <si>
    <t>juhana.jaatinen@rohsmanagement.com</t>
  </si>
  <si>
    <t>2025-06-30 1001 - Infor LN (AS), Indirect procurement iPRO, Professional services, Certification, standardization &amp; audits, R&amp;D services &amp; materials accepted by Kiema Miika</t>
  </si>
  <si>
    <t xml:space="preserve">Suomen Ensiapukoulutus Oy </t>
  </si>
  <si>
    <t>ingo@suomenensiapukoulutus.fi</t>
  </si>
  <si>
    <t>183810</t>
  </si>
  <si>
    <t xml:space="preserve">FI21712816 </t>
  </si>
  <si>
    <t>Talso Marko</t>
  </si>
  <si>
    <t>marko.talso@suomenensiapukoulutus.fi</t>
  </si>
  <si>
    <t>SGS SA</t>
  </si>
  <si>
    <t>sgs.fimko@sgs.com</t>
  </si>
  <si>
    <t>31250</t>
  </si>
  <si>
    <t>FI09785385</t>
  </si>
  <si>
    <t>Arina Dace</t>
  </si>
  <si>
    <t>dace.arina@sgs.com</t>
  </si>
  <si>
    <t>LIETO</t>
  </si>
  <si>
    <t>info@afore.fi</t>
  </si>
  <si>
    <t>68697</t>
  </si>
  <si>
    <t>FI10199674</t>
  </si>
  <si>
    <t>Mikola Sami</t>
  </si>
  <si>
    <t>sami.mikola@aem.com.sg</t>
  </si>
  <si>
    <t>MIKKELI</t>
  </si>
  <si>
    <t>Huuskonen Arto</t>
  </si>
  <si>
    <t>292272</t>
  </si>
  <si>
    <t>FI15023811</t>
  </si>
  <si>
    <t>Laitinen Vesa</t>
  </si>
  <si>
    <t>vesa.laitinen@platom.fi</t>
  </si>
  <si>
    <t>2019-10-18 FI310A - Valmet Automation Finland (AS), Indirect procurement iPRO, Professional services, Certification, standardization &amp; audits (Main category) accepted by Mäkelä Henri</t>
  </si>
  <si>
    <t>support@ticker.software</t>
  </si>
  <si>
    <t>293505</t>
  </si>
  <si>
    <t>FI27006621</t>
  </si>
  <si>
    <t>Määttä Jussi</t>
  </si>
  <si>
    <t>jussi.maatta@ticker.software</t>
  </si>
  <si>
    <t>2020-01-24 1001 - Infor LN (COF) (Valmet), Indirect procurement iPRO, Professional services, Legal services (Main category) accepted by Mäkelä Henri</t>
  </si>
  <si>
    <t>BOBINGEN</t>
  </si>
  <si>
    <t>302939</t>
  </si>
  <si>
    <t>DE255661167</t>
  </si>
  <si>
    <t>Hauff Harald</t>
  </si>
  <si>
    <t>harald.hauff@ib-edoh.de</t>
  </si>
  <si>
    <t>2021-11-19 1001 - Infor LN (AS), Indirect procurement iPRO, Professional services, R&amp;D services &amp; materials (Main category) accepted by INACTIVE Mantere Mika</t>
  </si>
  <si>
    <t>298488</t>
  </si>
  <si>
    <t>SE556726279401</t>
  </si>
  <si>
    <t>Larsen Thomas</t>
  </si>
  <si>
    <t>thomas.larsen@infrontfinance.com</t>
  </si>
  <si>
    <t>2021-01-07 1001 - Infor LN (PAP), Indirect procurement iPRO, Office IT, IT consulting (Main category) accepted by Tapiola Mika</t>
  </si>
  <si>
    <t>639501</t>
  </si>
  <si>
    <t>kaukajarvi@k-rauta.fi</t>
  </si>
  <si>
    <t>298872</t>
  </si>
  <si>
    <t>FI31826008</t>
  </si>
  <si>
    <t>Components and equipment, Other equipment and components;Indirect procurement iPRO, Professional services, Business consulting</t>
  </si>
  <si>
    <t>Niemi Kai</t>
  </si>
  <si>
    <t>Kivimäki Heini</t>
  </si>
  <si>
    <t>2024-08-16 1001 - Infor LN (AS), Components and equipment, Other equipment and components accepted by Järä Eveliina</t>
  </si>
  <si>
    <t>info@dennemeyer-law.com</t>
  </si>
  <si>
    <t>117135</t>
  </si>
  <si>
    <t>LU16559757</t>
  </si>
  <si>
    <t>dennemeyer-law info</t>
  </si>
  <si>
    <t>2024-06-24 FC - Infor M3 (FC) (FC), Valmet FC Finland Oy 310, Indirect procurement iPRO, Professional services, Patent services (Main category) accepted by Snedsböl Truls</t>
  </si>
  <si>
    <t>Atlanta - PO Box 933644</t>
  </si>
  <si>
    <t>ATLANTA</t>
  </si>
  <si>
    <t>33747</t>
  </si>
  <si>
    <t>075872440</t>
  </si>
  <si>
    <t>Bush-Postell Natasha</t>
  </si>
  <si>
    <t>NBush-Postell@tappi.org</t>
  </si>
  <si>
    <t>2023-07-11 1001 - Infor LN (PAP), Indirect procurement iPRO, Professional services, Certification, standardization &amp; audits accepted by Snedsböl Truls</t>
  </si>
  <si>
    <t>info@camline.fi</t>
  </si>
  <si>
    <t>299333</t>
  </si>
  <si>
    <t>FI31644925</t>
  </si>
  <si>
    <t>Korhonen Juuso</t>
  </si>
  <si>
    <t>juuso.korhonen@camline.fi</t>
  </si>
  <si>
    <t>Hämäläinen Arto</t>
  </si>
  <si>
    <t>2021-03-29 1001 - Infor LN (P&amp;E), Indirect procurement iPRO, Office IT, IT consulting (Main category) accepted by Tapiola Mika</t>
  </si>
  <si>
    <t>KOTKA</t>
  </si>
  <si>
    <t>mail@genip.fi</t>
  </si>
  <si>
    <t>123212</t>
  </si>
  <si>
    <t>FI21980175</t>
  </si>
  <si>
    <t>VERNIER</t>
  </si>
  <si>
    <t>305084</t>
  </si>
  <si>
    <t>CHE-101.862.430</t>
  </si>
  <si>
    <t xml:space="preserve">2022-05-19 Indirect procurement iPRO, Office IT, IT consulting (Main category) accepted by </t>
  </si>
  <si>
    <t>KARLSTAD</t>
  </si>
  <si>
    <t>mail@chipcon.se</t>
  </si>
  <si>
    <t>12581</t>
  </si>
  <si>
    <t>509159661</t>
  </si>
  <si>
    <t>SE556521861601</t>
  </si>
  <si>
    <t>Malmqvist P-O</t>
  </si>
  <si>
    <t>Pihl Johanna</t>
  </si>
  <si>
    <t>info@spinverse.com</t>
  </si>
  <si>
    <t>122799</t>
  </si>
  <si>
    <t>FI18777694</t>
  </si>
  <si>
    <t>Koponen Laura</t>
  </si>
  <si>
    <t>laura.koponen@spinverse.com</t>
  </si>
  <si>
    <t>2018-11-06 210 - Valmet Power Finland (POWFIN) (P&amp;E), Indirect procurement iPRO, Professional services, Business consulting (Main category) accepted by Mäkelä Henri</t>
  </si>
  <si>
    <t>STRASBOURG</t>
  </si>
  <si>
    <t>285633</t>
  </si>
  <si>
    <t>FR44130005457</t>
  </si>
  <si>
    <t>Jehl Cinthia</t>
  </si>
  <si>
    <t>cynthia.jehl@ceipi.edu</t>
  </si>
  <si>
    <t>2022-12-02 1001 - Infor LN (PAP), Indirect procurement iPRO, Professional services, Patent services (Main category) accepted by Snedsböl Truls</t>
  </si>
  <si>
    <t>LEPSÄMÄ</t>
  </si>
  <si>
    <t>315394</t>
  </si>
  <si>
    <t>FI31567173</t>
  </si>
  <si>
    <t>Ranta Maiju</t>
  </si>
  <si>
    <t>info@ethos.fi</t>
  </si>
  <si>
    <t>2023-05-15 1001 - Infor LN (SER), Indirect procurement iPRO, Personnel, Training &amp; people development (Main category) accepted by Korpela Tuija</t>
  </si>
  <si>
    <t>304796</t>
  </si>
  <si>
    <t>539824712</t>
  </si>
  <si>
    <t>FI24118281</t>
  </si>
  <si>
    <t>Indirect procurement iPRO, Office IT, Software licenses;Indirect procurement iPRO, Professional services, Business consulting</t>
  </si>
  <si>
    <t>Aaltonen Aleksi</t>
  </si>
  <si>
    <t>aleksi.aaltonen@secapp.fi</t>
  </si>
  <si>
    <t>2024-12-17 Basware - Basware purchasing (Valmet), Indirect procurement iPRO, Office IT, Software licenses accepted by Tapiola Mika</t>
  </si>
  <si>
    <t>CITY OF INDUSTRY</t>
  </si>
  <si>
    <t>317932</t>
  </si>
  <si>
    <t>Yao Jodie</t>
  </si>
  <si>
    <t>jodie@qyresearch.com</t>
  </si>
  <si>
    <t>2023-11-06 1001 - Infor LN (SER), Indirect procurement iPRO, Professional services, Business consulting accepted by Snedsböl Truls</t>
  </si>
  <si>
    <t>211330</t>
  </si>
  <si>
    <t>FI05451396</t>
  </si>
  <si>
    <t>INACTIVE Pasanen Sari</t>
  </si>
  <si>
    <t>310709</t>
  </si>
  <si>
    <t>FI26803012</t>
  </si>
  <si>
    <t xml:space="preserve">Salonen Roni </t>
  </si>
  <si>
    <t>roni.salonen@hseman.eu</t>
  </si>
  <si>
    <t>2022-11-18 1001 - Infor LN (AS), Indirect procurement iPRO, Professional services, Business consulting (Main category) accepted by Snedsböl Truls</t>
  </si>
  <si>
    <t>308130</t>
  </si>
  <si>
    <t>FI31948857</t>
  </si>
  <si>
    <t>Danson August</t>
  </si>
  <si>
    <t>august@dansoncapital.fi</t>
  </si>
  <si>
    <t>2024-12-11 FC - Infor M3 (FC) (FC), Valmet FC Finland Oy 310, Indirect procurement iPRO, Professional services, Business consulting (Main category) accepted by Snedsböl Truls</t>
  </si>
  <si>
    <t>307345</t>
  </si>
  <si>
    <t>FI24764742</t>
  </si>
  <si>
    <t>Montonen Juha</t>
  </si>
  <si>
    <t>juha.montonen@cybersec.fi</t>
  </si>
  <si>
    <t>Liimatainen Jussi-Pekka</t>
  </si>
  <si>
    <t>2022-09-26 1001 - Infor LN (COF) (Valmet), Indirect procurement iPRO, Office IT, IT consulting (Main category) accepted by Tapiola Mika</t>
  </si>
  <si>
    <t>hilkka@haknova.com</t>
  </si>
  <si>
    <t>Loikkanen Janne</t>
  </si>
  <si>
    <t>291103</t>
  </si>
  <si>
    <t>FI29346697</t>
  </si>
  <si>
    <t>Alatalo-Korpi Hilkka</t>
  </si>
  <si>
    <t>hilkka.alatalo-korpi@haknova.com</t>
  </si>
  <si>
    <t>2019-07-17 1001 - Infor LN (PAP), Indirect procurement iPRO, Personnel, Training &amp; people development (Main category) accepted by Loikkanen Janne</t>
  </si>
  <si>
    <t>EF Language Learning Solutions Ltd - Lucerne</t>
  </si>
  <si>
    <t>LUCERNE</t>
  </si>
  <si>
    <t>164037</t>
  </si>
  <si>
    <t>CHE-115.946.607</t>
  </si>
  <si>
    <t>Bergsman Daniel</t>
  </si>
  <si>
    <t>finance-lls@ef.com</t>
  </si>
  <si>
    <t>2025-06-02 1001 - Infor LN (P&amp;E), Energy, Indirect procurement iPRO, Personnel, Training &amp; people development accepted by Mäkelä Henri</t>
  </si>
  <si>
    <t>Rantala Marjo</t>
  </si>
  <si>
    <t>129693</t>
  </si>
  <si>
    <t>LT108784411</t>
  </si>
  <si>
    <t>2022-08-12 1001 - Infor LN (COF) (Valmet), Indirect procurement iPRO, Professional services, Business consulting (Main category) accepted by Mäkelä Henri</t>
  </si>
  <si>
    <t>WACHENHEIM</t>
  </si>
  <si>
    <t>contact@stripf-ps.de</t>
  </si>
  <si>
    <t>231549</t>
  </si>
  <si>
    <t>DE295030935</t>
  </si>
  <si>
    <t>Stripf Steffen</t>
  </si>
  <si>
    <t>steffen.stripf@stripf-ps.de</t>
  </si>
  <si>
    <t>2022-12-09 1001 - Infor LN (AS), Indirect procurement iPRO, Professional services, Business consulting (Main category) accepted by Snedsböl Truls</t>
  </si>
  <si>
    <t>post@hawkinswright.com</t>
  </si>
  <si>
    <t>121429</t>
  </si>
  <si>
    <t>GB877559652</t>
  </si>
  <si>
    <t>info@berlitz.fi</t>
  </si>
  <si>
    <t>11088</t>
  </si>
  <si>
    <t>FI16123793</t>
  </si>
  <si>
    <t>NEWBURY</t>
  </si>
  <si>
    <t>306063</t>
  </si>
  <si>
    <t>GB299380938</t>
  </si>
  <si>
    <t>Vat Nicholas</t>
  </si>
  <si>
    <t>nick@audetmagna.co.uk</t>
  </si>
  <si>
    <t>2022-07-01 1001 - Infor LN (COF) (Valmet), Indirect procurement iPRO, Office IT, IT consulting (Main category) accepted by Tapiola Mika</t>
  </si>
  <si>
    <t>192803</t>
  </si>
  <si>
    <t>FI20748323</t>
  </si>
  <si>
    <t>Kevarinmäki Katariina</t>
  </si>
  <si>
    <t>katariina.kevarinmaki@kk-palokonsultti.com</t>
  </si>
  <si>
    <t>Oikeustieteellinen Tiedekunta</t>
  </si>
  <si>
    <t>35323</t>
  </si>
  <si>
    <t>FI02458963</t>
  </si>
  <si>
    <t>Luomanen Marja</t>
  </si>
  <si>
    <t>marja.luomanen@utu.fi</t>
  </si>
  <si>
    <t>2025-01-08 FC - Infor M3 (FC) (FC), Valmet FC Finland Oy 310, Indirect procurement iPRO, Professional services, R&amp;D services &amp; materials (Main category) accepted by Kiema Miika</t>
  </si>
  <si>
    <t>TALLINN</t>
  </si>
  <si>
    <t>Estonia</t>
  </si>
  <si>
    <t>estonia@sorainen.com</t>
  </si>
  <si>
    <t>Huuhka Eeva</t>
  </si>
  <si>
    <t>187307</t>
  </si>
  <si>
    <t>EE100777673</t>
  </si>
  <si>
    <t>Lepasepp Kaupo</t>
  </si>
  <si>
    <t>kaupo.lepasepp@sorainen.com</t>
  </si>
  <si>
    <t>2022-08-31 1001 - Infor LN (P&amp;E), Wood and Pulp Handling, Indirect procurement iPRO, Professional services, Legal services (Main category) accepted by Snedsböl Truls</t>
  </si>
  <si>
    <t>318182</t>
  </si>
  <si>
    <t>FI24541856</t>
  </si>
  <si>
    <t>Korhonen Hannele</t>
  </si>
  <si>
    <t>hannele@lawyersdesignschool.com</t>
  </si>
  <si>
    <t>INACTIVE Vainio Tilda;Moilanen Marjo</t>
  </si>
  <si>
    <t>2023-11-17 1001 - Infor LN (AS), Indirect procurement iPRO, Professional services, Legal services (Main category) accepted by Snedsböl Truls</t>
  </si>
  <si>
    <t>Harju Ville</t>
  </si>
  <si>
    <t>Mannila Petri</t>
  </si>
  <si>
    <t>petri.mannila@kiwa.com</t>
  </si>
  <si>
    <t>Ojala Eemeli</t>
  </si>
  <si>
    <t>sprache@helsinki.goethe.org</t>
  </si>
  <si>
    <t>17046</t>
  </si>
  <si>
    <t>FI02225940</t>
  </si>
  <si>
    <t>Laajalahti Hanna</t>
  </si>
  <si>
    <t>hanna.laajalahti@goethe.de</t>
  </si>
  <si>
    <t>INACTIVE Dávila Guillermo</t>
  </si>
  <si>
    <t>304633</t>
  </si>
  <si>
    <t>ESG78031085</t>
  </si>
  <si>
    <t>Sastre Diana</t>
  </si>
  <si>
    <t>teleformacion@aspapel.es</t>
  </si>
  <si>
    <t>2022-04-07 ES244 - Valmet Technologies Zaragoza SL (SER), Indirect procurement iPRO, Personnel, Training &amp; people development accepted by Carral Madrazo David</t>
  </si>
  <si>
    <t>info@presto.fi</t>
  </si>
  <si>
    <t>27350</t>
  </si>
  <si>
    <t>FI05207043</t>
  </si>
  <si>
    <t>Indirect procurement iPRO, Personnel, Training &amp; people development;Indirect procurement iPRO, Transportation, forwarding and warehousing</t>
  </si>
  <si>
    <t>Vesanen Jari</t>
  </si>
  <si>
    <t>jari.vesanen@presto.fi</t>
  </si>
  <si>
    <t>2024-08-16 FC - Infor M3 (FC) (FC), Valmet FC Finland Oy 310, Indirect procurement iPRO, Transportation, forwarding and warehousing accepted by INACTIVE Haapamäki Jatta</t>
  </si>
  <si>
    <t>298914</t>
  </si>
  <si>
    <t>GB329824770</t>
  </si>
  <si>
    <t>Brown Phillip Jason</t>
  </si>
  <si>
    <t>regis-tr-invoices@clearstream.com</t>
  </si>
  <si>
    <t>INACTIVE Lindqvist Henry</t>
  </si>
  <si>
    <t>2021-02-19 1001 - Infor LN (COF) (Valmet), Indirect procurement iPRO, Professional services, Business consulting (Main category) accepted by Mäkelä Henri</t>
  </si>
  <si>
    <t>Nurmi Riikka</t>
  </si>
  <si>
    <t>285969</t>
  </si>
  <si>
    <t>FI28168446</t>
  </si>
  <si>
    <t>Salonen Anne</t>
  </si>
  <si>
    <t>anne.salonen@tresentio.fi</t>
  </si>
  <si>
    <t>2023-02-21 1001 - Infor LN (PAP), Indirect procurement iPRO, Personnel, Training &amp; people development (Main category) accepted by Korpela Tuija</t>
  </si>
  <si>
    <t>302104</t>
  </si>
  <si>
    <t>FI28204611</t>
  </si>
  <si>
    <t>Roininen Ville</t>
  </si>
  <si>
    <t>ville.roininen@measurlabs.com</t>
  </si>
  <si>
    <t>Eerikäinen Hannu;Vaittinen Henri</t>
  </si>
  <si>
    <t>2024-05-23 SAP 949 - Fabrics Tampere (SER), Indirect procurement iPRO, Professional services, R&amp;D services &amp; materials accepted by Kiema Miika</t>
  </si>
  <si>
    <t>290286</t>
  </si>
  <si>
    <t>FI29742251</t>
  </si>
  <si>
    <t>Somppi Marko</t>
  </si>
  <si>
    <t>marko.somppi@dbproservices.fi</t>
  </si>
  <si>
    <t>2019-04-29 1001 - Infor LN (SER), Indirect procurement iPRO, Office IT, IT consulting (Main category) accepted by Tapiola Mika</t>
  </si>
  <si>
    <t>ZUG</t>
  </si>
  <si>
    <t>159175</t>
  </si>
  <si>
    <t>CHE113791742</t>
  </si>
  <si>
    <t>Houtermans Michel</t>
  </si>
  <si>
    <t>michelhoutermans@risknowlogy.com</t>
  </si>
  <si>
    <t>Korhonen Jaana</t>
  </si>
  <si>
    <t>312831</t>
  </si>
  <si>
    <t>FR67410389332</t>
  </si>
  <si>
    <t>Moll Verena</t>
  </si>
  <si>
    <t>moll@berg-moll.com</t>
  </si>
  <si>
    <t>2024-09-17 FC - Infor M3 (FC) (FC), Valmet FC Finland Oy 310, Indirect procurement iPRO, Professional services, Legal services accepted by Snedsböl Truls</t>
  </si>
  <si>
    <t>307321</t>
  </si>
  <si>
    <t>FI26146809</t>
  </si>
  <si>
    <t xml:space="preserve">2022-09-23 Indirect procurement iPRO, Professional services, Business consulting (Main category) accepted by </t>
  </si>
  <si>
    <t>SUNDSVALL</t>
  </si>
  <si>
    <t>support@ssg.se</t>
  </si>
  <si>
    <t>70331</t>
  </si>
  <si>
    <t>SE556403152301</t>
  </si>
  <si>
    <t>Indirect procurement iPRO, Personnel, Training &amp; people development;Indirect procurement iPRO, Professional services, Certification, standardization &amp; audits</t>
  </si>
  <si>
    <t>Lundgren Henrik</t>
  </si>
  <si>
    <t>henrik.lundgren@ssgsolutions.com</t>
  </si>
  <si>
    <t>INACTIVE Ronnheden Sofia;INACTIVE Castenäs Niklas</t>
  </si>
  <si>
    <t>BOISAR</t>
  </si>
  <si>
    <t>308587</t>
  </si>
  <si>
    <t>ManpowerGroup Solutions</t>
  </si>
  <si>
    <t>304704</t>
  </si>
  <si>
    <t>FI21812155</t>
  </si>
  <si>
    <t>299030</t>
  </si>
  <si>
    <t>FI29664732</t>
  </si>
  <si>
    <t>Kibrick Jonas</t>
  </si>
  <si>
    <t>jk@presidents.eu</t>
  </si>
  <si>
    <t>2021-03-02 1001 - Infor LN (COF) (Valmet), Indirect procurement iPRO, Professional services, Business consulting (Main category) accepted by Mäkelä Henri</t>
  </si>
  <si>
    <t xml:space="preserve">Universum Communic. Sweden Aktieb. Finland Filial </t>
  </si>
  <si>
    <t>189614</t>
  </si>
  <si>
    <t xml:space="preserve">FI20395871 </t>
  </si>
  <si>
    <t>2020-12-29 1001 - Infor LN (COF) (Valmet), Indirect procurement iPRO, Professional services, R&amp;D services &amp; materials (Main category) accepted by INACTIVE Heikkinen Joona Kalle Matias</t>
  </si>
  <si>
    <t>301358</t>
  </si>
  <si>
    <t>DE322853082</t>
  </si>
  <si>
    <t>Freytag Lars</t>
  </si>
  <si>
    <t>freytag@wendelstein.com</t>
  </si>
  <si>
    <t>2021-07-16 1001 - Infor LN (COF) (Valmet), Indirect procurement iPRO, Professional services, Legal services (Main category) accepted by Mäkelä Henri</t>
  </si>
  <si>
    <t>OFTERSHEIM</t>
  </si>
  <si>
    <t>305803</t>
  </si>
  <si>
    <t>DE4302820082</t>
  </si>
  <si>
    <t xml:space="preserve">Imle  Johannes </t>
  </si>
  <si>
    <t>j.imle@refraconsult.de</t>
  </si>
  <si>
    <t>2022-07-02 1001 - Infor LN (P&amp;E), Energy, Indirect procurement iPRO, Professional services, R&amp;D services &amp; materials (Main category) accepted by Kiema Miika</t>
  </si>
  <si>
    <t>Ehrola Juha</t>
  </si>
  <si>
    <t>292377</t>
  </si>
  <si>
    <t>FI29589314</t>
  </si>
  <si>
    <t>Tammi Juha</t>
  </si>
  <si>
    <t>juha.tammi@leanyhdistys.fi</t>
  </si>
  <si>
    <t>2023-05-31 1001 - Infor LN (PAP), Indirect procurement iPRO, Professional services, Business consulting (Main category) accepted by Snedsböl Truls</t>
  </si>
  <si>
    <t>INACTIVE Remes Sami</t>
  </si>
  <si>
    <t>298328</t>
  </si>
  <si>
    <t>FI28373079</t>
  </si>
  <si>
    <t>Indirect procurement iPRO, Office IT, IT consulting;Indirect procurement iPRO, Personnel, Training &amp; people development;Indirect procurement iPRO, Professional services, Testing, measurement &amp; inspection</t>
  </si>
  <si>
    <t>Helin Henrik</t>
  </si>
  <si>
    <t>henrik.helin@360mediatalo.fi</t>
  </si>
  <si>
    <t>Tella Simo</t>
  </si>
  <si>
    <t>2021-03-01 1001 - Infor LN (P&amp;E), Indirect procurement iPRO, Professional services, Testing, measurement &amp; inspection accepted by Mäkelä Henri</t>
  </si>
  <si>
    <t>OSTRAVA</t>
  </si>
  <si>
    <t>Vuosjoki Janne</t>
  </si>
  <si>
    <t>229626</t>
  </si>
  <si>
    <t>CZ45193380</t>
  </si>
  <si>
    <t>Kulich Martin</t>
  </si>
  <si>
    <t>kulichm@vvuu.cz</t>
  </si>
  <si>
    <t>2022-08-25 1001 - Infor LN (P&amp;E), Energy, Indirect procurement iPRO, Professional services, Certification, standardization &amp; audits (Main category) accepted by Mäkelä Henri</t>
  </si>
  <si>
    <t>INACTIVE Löytäinen Tuula</t>
  </si>
  <si>
    <t>290745</t>
  </si>
  <si>
    <t xml:space="preserve">FI08696022 </t>
  </si>
  <si>
    <t>Nummela Esa</t>
  </si>
  <si>
    <t>esa.nummela@magnumlive.fi</t>
  </si>
  <si>
    <t>2022-01-10 1001 - Infor LN (PAP), Indirect procurement iPRO, Professional services, Business consulting accepted by Mäkelä Henri</t>
  </si>
  <si>
    <t>INACTIVE Ania-Vilppola Marika</t>
  </si>
  <si>
    <t>285661</t>
  </si>
  <si>
    <t>FI28750217</t>
  </si>
  <si>
    <t>Kotiranta Jenni</t>
  </si>
  <si>
    <t>jenni.kotiranta@merkuriuslaw.fi</t>
  </si>
  <si>
    <t>2023-11-17 1001 - Infor LN (P&amp;E), Energy, Indirect procurement iPRO, Professional services, Legal services (Main category) accepted by Snedsböl Truls</t>
  </si>
  <si>
    <t>tina.sammi@sammioy.fi</t>
  </si>
  <si>
    <t>INACTIVE Olkinuora Ulla-Maija</t>
  </si>
  <si>
    <t>293167</t>
  </si>
  <si>
    <t>FI29862245</t>
  </si>
  <si>
    <t>Sammi Tiina</t>
  </si>
  <si>
    <t>2019-12-19 631 - Valmet Technologies, Inc PM (MP) (PAP), Indirect procurement iPRO, Professional services, Business consulting accepted by Mäkelä Henri</t>
  </si>
  <si>
    <t>ARCHAMPS</t>
  </si>
  <si>
    <t>eipm@eipm.org</t>
  </si>
  <si>
    <t>105139</t>
  </si>
  <si>
    <t>FR91393094628</t>
  </si>
  <si>
    <t>Chraibi Philippe</t>
  </si>
  <si>
    <t>administration@eipm.org</t>
  </si>
  <si>
    <t>INACTIVE Heinonen Santeri</t>
  </si>
  <si>
    <t>2021-12-14 1001 - Infor LN (COF) (Valmet), Indirect procurement iPRO, Personnel, Training &amp; people development (Main category) accepted by Korpela Tuija</t>
  </si>
  <si>
    <t>ULVILA</t>
  </si>
  <si>
    <t>Rantama Kari</t>
  </si>
  <si>
    <t>293189</t>
  </si>
  <si>
    <t>FI26814328</t>
  </si>
  <si>
    <t>Vaahtio Jari</t>
  </si>
  <si>
    <t>kjv-palvelut@dnainternet.net</t>
  </si>
  <si>
    <t>2019-12-23 1001 - Infor LN (SER), Indirect procurement iPRO, Personnel, Training &amp; people development (Main category) accepted by Mäkelä Henri</t>
  </si>
  <si>
    <t>SAVONLINNA</t>
  </si>
  <si>
    <t>312325</t>
  </si>
  <si>
    <t>FI14375786</t>
  </si>
  <si>
    <t>Kärkkäinen Kari</t>
  </si>
  <si>
    <t>kari.karkkainen@coresto.fi</t>
  </si>
  <si>
    <t>2023-02-08 1001 - Infor LN (P&amp;E), Energy, Indirect procurement iPRO, Professional services, R&amp;D services &amp; materials (Main category) accepted by Kiema Miika</t>
  </si>
  <si>
    <t>ZAGREB</t>
  </si>
  <si>
    <t>Valtonen Tiina</t>
  </si>
  <si>
    <t>315672</t>
  </si>
  <si>
    <t>HR26557457334</t>
  </si>
  <si>
    <t>Pajtak Hrvoje</t>
  </si>
  <si>
    <t>hpajtak@kpmg.com</t>
  </si>
  <si>
    <t>2023-06-02 1001 - Infor LN (P&amp;E), Energy, Indirect procurement iPRO, Professional services, Legal services (Main category) accepted by Snedsböl Truls</t>
  </si>
  <si>
    <t>KANGASNIEMI</t>
  </si>
  <si>
    <t>229536</t>
  </si>
  <si>
    <t>FI23960469</t>
  </si>
  <si>
    <t>Rouru Jutta</t>
  </si>
  <si>
    <t>316232</t>
  </si>
  <si>
    <t>GB162460523</t>
  </si>
  <si>
    <t>Katayi Salla</t>
  </si>
  <si>
    <t>salla.katayi@hultef.com</t>
  </si>
  <si>
    <t>INACTIVE Carlsson Maria</t>
  </si>
  <si>
    <t>2023-10-20 FC - Infor M3 (FC) (FC), Valmet FC Finland Oy 310, Indirect procurement iPRO, Personnel, Training &amp; people development accepted by Mäkelä Henri</t>
  </si>
  <si>
    <t>HÖGANÄS</t>
  </si>
  <si>
    <t>info@hoganas.com</t>
  </si>
  <si>
    <t>Ollenberg Anita</t>
  </si>
  <si>
    <t>99868</t>
  </si>
  <si>
    <t xml:space="preserve">SE556005012101 </t>
  </si>
  <si>
    <t>info</t>
  </si>
  <si>
    <t>2023-08-21 1001 - Infor LN (SER), Indirect procurement iPRO, Professional services, R&amp;D services &amp; materials (Main category) accepted by Kiema Miika</t>
  </si>
  <si>
    <t>Rauma</t>
  </si>
  <si>
    <t>RAUMA</t>
  </si>
  <si>
    <t>151303</t>
  </si>
  <si>
    <t>FI22450184</t>
  </si>
  <si>
    <t>info@plmgroup.fi</t>
  </si>
  <si>
    <t>73212</t>
  </si>
  <si>
    <t>FI14466944</t>
  </si>
  <si>
    <t>Finance</t>
  </si>
  <si>
    <t>2021-12-13 1001 - Infor LN (AS), Indirect procurement iPRO, Professional services, R&amp;D services &amp; materials (Main category) accepted by INACTIVE Mantere Mika</t>
  </si>
  <si>
    <t>107794</t>
  </si>
  <si>
    <t>FI11097071</t>
  </si>
  <si>
    <t>Helsingin Lisa</t>
  </si>
  <si>
    <t>lisa@lisa.fi</t>
  </si>
  <si>
    <t>NIEUWEGEIN</t>
  </si>
  <si>
    <t>Malenstein Sylvia</t>
  </si>
  <si>
    <t>301322</t>
  </si>
  <si>
    <t>NL807957434B01</t>
  </si>
  <si>
    <t>Ebens Okko</t>
  </si>
  <si>
    <t>okko.ebens@dgta.nl</t>
  </si>
  <si>
    <t>2021-07-12 NL296 - Valmet Automation BV (AS), Indirect procurement iPRO, Personnel, Training &amp; people development (Main category) accepted by INACTIVE Wick Frank</t>
  </si>
  <si>
    <t>315220</t>
  </si>
  <si>
    <t>FI32590041</t>
  </si>
  <si>
    <t>Antila Miia</t>
  </si>
  <si>
    <t>miia@flow2work.fi</t>
  </si>
  <si>
    <t>2023-04-28 1001 - Infor LN (P&amp;E), Energy, Indirect procurement iPRO, Personnel, Training &amp; people development (Main category) accepted by Korpela Tuija</t>
  </si>
  <si>
    <t>SOLNA</t>
  </si>
  <si>
    <t>support-se@nti.biz</t>
  </si>
  <si>
    <t>316089</t>
  </si>
  <si>
    <t>SE556405953201</t>
  </si>
  <si>
    <t>Borgenhard Patrik</t>
  </si>
  <si>
    <t>pab@nti.biz</t>
  </si>
  <si>
    <t>Lehtimäki Pasi;Sundbeck Hans</t>
  </si>
  <si>
    <t>2023-07-05 1001 - Infor LN (COF) (Valmet), Indirect procurement iPRO, Office IT, IT consulting (Main category) accepted by Tapiola Mika</t>
  </si>
  <si>
    <t>PIRKKALA</t>
  </si>
  <si>
    <t>seppo.tuominiemi@gmail.com</t>
  </si>
  <si>
    <t>235241</t>
  </si>
  <si>
    <t>FI27160186</t>
  </si>
  <si>
    <t xml:space="preserve">Punainen Risti Ensiapu Oy </t>
  </si>
  <si>
    <t>laskuttaja@punainenristi.fi</t>
  </si>
  <si>
    <t>250969</t>
  </si>
  <si>
    <t>FI28431187</t>
  </si>
  <si>
    <t>2025-02-06 FC - Infor M3 (FC) (FC), Valmet FC Finland Oy 310, Indirect procurement iPRO, Personnel, Training &amp; people development accepted by Korpela Tuija</t>
  </si>
  <si>
    <t>INACTIVE Salmi Annina</t>
  </si>
  <si>
    <t>310914</t>
  </si>
  <si>
    <t>FI27886841</t>
  </si>
  <si>
    <t>Korhonen Mikko</t>
  </si>
  <si>
    <t>mikko.korhonen@safeguard.fi</t>
  </si>
  <si>
    <t>2022-12-07 1001 - Infor LN (P&amp;E), Wood and Pulp Handling, Indirect procurement iPRO, Personnel, Training &amp; people development (Main category) accepted by Korpela Tuija</t>
  </si>
  <si>
    <t>Hirvonen Kimmo</t>
  </si>
  <si>
    <t>318497</t>
  </si>
  <si>
    <t>FI33830481</t>
  </si>
  <si>
    <t>Vassiljev Ruslan</t>
  </si>
  <si>
    <t>ruslan@synchronia.fi</t>
  </si>
  <si>
    <t>2023-12-07 FC - Infor M3 (FC) (FC), Valmet FC Finland Oy 310, Indirect procurement iPRO, Office IT, IT consulting (Main category) accepted by Tapiola Mika</t>
  </si>
  <si>
    <t>49959</t>
  </si>
  <si>
    <t>FI24729082</t>
  </si>
  <si>
    <t>Tirri Tapio</t>
  </si>
  <si>
    <t>tapio.tirri@xamk.fi</t>
  </si>
  <si>
    <t>404780</t>
  </si>
  <si>
    <t>info@yritysakatemia.fi</t>
  </si>
  <si>
    <t>37454</t>
  </si>
  <si>
    <t>FI07029770</t>
  </si>
  <si>
    <t>Linnaranta Tuomo</t>
  </si>
  <si>
    <t>105958</t>
  </si>
  <si>
    <t>FI18797847</t>
  </si>
  <si>
    <t>2022-04-07 1001 - Infor LN (PAP), Indirect procurement iPRO, Personnel, Training &amp; people development (Main category) accepted by Korpela Tuija</t>
  </si>
  <si>
    <t>304651</t>
  </si>
  <si>
    <t>FI31595641</t>
  </si>
  <si>
    <t>Niittymäki Alex</t>
  </si>
  <si>
    <t>alex.niittymaki@cerecaptio.com</t>
  </si>
  <si>
    <t xml:space="preserve">2022-04-09 Indirect procurement iPRO, Office IT, IT consulting (Main category) accepted by </t>
  </si>
  <si>
    <t>SANTIAGO</t>
  </si>
  <si>
    <t>Chile</t>
  </si>
  <si>
    <t>317092</t>
  </si>
  <si>
    <t>Vaccarezza Giancarlo</t>
  </si>
  <si>
    <t>gvaccarezza@jl.cl</t>
  </si>
  <si>
    <t>2023-09-21 1001 - Infor LN (PAP), Indirect procurement iPRO, Professional services, Patent services (Main category) accepted by Snedsböl Truls</t>
  </si>
  <si>
    <t xml:space="preserve">Avida Finans AB (publ), filial i Finland </t>
  </si>
  <si>
    <t>INACTIVE Törmänen Jaana</t>
  </si>
  <si>
    <t>292555</t>
  </si>
  <si>
    <t>FI25417689</t>
  </si>
  <si>
    <t>info@avidafinans.fi</t>
  </si>
  <si>
    <t>2019-11-07 1001 - Infor LN (SER), Indirect procurement iPRO, Professional services, Legal services (Main category) accepted by Mäkelä Henri</t>
  </si>
  <si>
    <t>296337</t>
  </si>
  <si>
    <t>FI31308075</t>
  </si>
  <si>
    <t>Mattila Niko</t>
  </si>
  <si>
    <t>myynti@tshoy.fi</t>
  </si>
  <si>
    <t>2020-10-28 210 - Valmet Power Finland (POWFIN) (P&amp;E), Indirect procurement iPRO, Personnel rejected by Mäkelä Henri</t>
  </si>
  <si>
    <t xml:space="preserve">Y3 Milestone Coaching &amp; Consulting Oy Ltd </t>
  </si>
  <si>
    <t>postia@milestone.fi</t>
  </si>
  <si>
    <t>25000</t>
  </si>
  <si>
    <t>FI17643563</t>
  </si>
  <si>
    <t>UNTERSCHLEISSHEIM</t>
  </si>
  <si>
    <t>Glad Susanna</t>
  </si>
  <si>
    <t>316544</t>
  </si>
  <si>
    <t>DE271940094</t>
  </si>
  <si>
    <t>Behrend Barbara</t>
  </si>
  <si>
    <t>barbara.behrend@blue-relocation.com</t>
  </si>
  <si>
    <t>30 days, end of month</t>
  </si>
  <si>
    <t>2023-08-14 1001 - Infor LN (AS), Indirect procurement iPRO, Professional services, Business consulting (Main category) accepted by Snedsböl Truls</t>
  </si>
  <si>
    <t>KEILA</t>
  </si>
  <si>
    <t>299176</t>
  </si>
  <si>
    <t>EE101057677</t>
  </si>
  <si>
    <t>Pirso Ebeli</t>
  </si>
  <si>
    <t>ebeli.pirso@koolituskorraldus.ee</t>
  </si>
  <si>
    <t>2021-03-12 FI310A - Valmet Automation Finland (AS), Indirect procurement iPRO, Personnel, Training &amp; people development (Main category) accepted by Mäkelä Henri</t>
  </si>
  <si>
    <t>COPENHAGEN Ø</t>
  </si>
  <si>
    <t>Alajärvi Jaana</t>
  </si>
  <si>
    <t>311419</t>
  </si>
  <si>
    <t>DK38538071</t>
  </si>
  <si>
    <t>Brinck-Jensen Jeppe</t>
  </si>
  <si>
    <t>jbjn@bechbruun.com</t>
  </si>
  <si>
    <t>2023-01-16 1001 - Infor LN (AS), Indirect procurement iPRO, Professional services, Legal services (Main category) accepted by Snedsböl Truls</t>
  </si>
  <si>
    <t>Järvinen Leena</t>
  </si>
  <si>
    <t>297715</t>
  </si>
  <si>
    <t>FI28374485</t>
  </si>
  <si>
    <t>Langinkoski Heidi</t>
  </si>
  <si>
    <t>heidi.langinkoski@norian.eu</t>
  </si>
  <si>
    <t>2020-10-28 1001 - Infor LN (SER), Indirect procurement iPRO, Professional services, Business consulting (Main category) accepted by Mäkelä Henri</t>
  </si>
  <si>
    <t>DUIVEN</t>
  </si>
  <si>
    <t>306482</t>
  </si>
  <si>
    <t>NL859744164B01</t>
  </si>
  <si>
    <t>Ramos Pablo</t>
  </si>
  <si>
    <t>sales@AlicatScientific.com</t>
  </si>
  <si>
    <t xml:space="preserve">2022-09-15 Indirect procurement iPRO, Professional services, R&amp;D services &amp; materials (Main category) accepted by </t>
  </si>
  <si>
    <t>46101</t>
  </si>
  <si>
    <t>FI08150513</t>
  </si>
  <si>
    <t>VTT Valmistustekniikka, Espoo</t>
  </si>
  <si>
    <t>veikko.virtanen@vtt.fi</t>
  </si>
  <si>
    <t>KUOPIO</t>
  </si>
  <si>
    <t>myyntilaskut@uef.fi</t>
  </si>
  <si>
    <t>148453</t>
  </si>
  <si>
    <t>FI22857339</t>
  </si>
  <si>
    <t>305113</t>
  </si>
  <si>
    <t>FI29627923</t>
  </si>
  <si>
    <t>Roos Henry</t>
  </si>
  <si>
    <t>henry.roos@rooslaw.fi</t>
  </si>
  <si>
    <t>Keskinen Pekka</t>
  </si>
  <si>
    <t>2022-05-20 1001 - Infor LN (P&amp;E), Recovery, Indirect procurement iPRO, Professional services, Legal services (Main category) accepted by Mäkelä Henri</t>
  </si>
  <si>
    <t>MITTWEIDA</t>
  </si>
  <si>
    <t>Miettinen Joni</t>
  </si>
  <si>
    <t>307674</t>
  </si>
  <si>
    <t>DE342163243</t>
  </si>
  <si>
    <t>Haldan David</t>
  </si>
  <si>
    <t>d.haldan@antacon.de</t>
  </si>
  <si>
    <t>2022-09-29 1001 - Infor LN (SER), Indirect procurement iPRO, Professional services, R&amp;D services &amp; materials (Main category) accepted by Kiema Miika</t>
  </si>
  <si>
    <t>Lapila Eeva</t>
  </si>
  <si>
    <t>305706</t>
  </si>
  <si>
    <t>FI26513306</t>
  </si>
  <si>
    <t>Björkstam Ulrika</t>
  </si>
  <si>
    <t>ulrika.bjorkstam@goodco.fi</t>
  </si>
  <si>
    <t>2022-07-01 1001 - Infor LN (PAP), Indirect procurement iPRO, Personnel, Training &amp; people development (Main category) accepted by Korpela Tuija</t>
  </si>
  <si>
    <t>318148</t>
  </si>
  <si>
    <t>FI33948287</t>
  </si>
  <si>
    <t>Kinni Jouni</t>
  </si>
  <si>
    <t>kinni.jouni@outlook.com</t>
  </si>
  <si>
    <t>2023-11-14 1001 - Infor LN (P&amp;E), Energy, Indirect procurement iPRO, Professional services, Business consulting (Main category) accepted by Kiema Miika</t>
  </si>
  <si>
    <t>304929</t>
  </si>
  <si>
    <t>FI30902064</t>
  </si>
  <si>
    <t>Puustinen Paul</t>
  </si>
  <si>
    <t>paul.puustinen@performandpay.com</t>
  </si>
  <si>
    <t>2022-05-05 1001 - Infor LN (COF) (Valmet), Indirect procurement iPRO, Professional services, Business consulting (Main category) accepted by Mäkelä Henri</t>
  </si>
  <si>
    <t>INACTIVE Långsjö Laura</t>
  </si>
  <si>
    <t>315917</t>
  </si>
  <si>
    <t>FI24218063</t>
  </si>
  <si>
    <t>Indirect procurement iPRO, Personnel, Training &amp; people development;Indirect procurement iPRO, Professional services, Legal services</t>
  </si>
  <si>
    <t>Invoicing</t>
  </si>
  <si>
    <t>invoicing@hrlegal.fi</t>
  </si>
  <si>
    <t>2023-06-22 1001 - Infor LN (COF) (Valmet), Indirect procurement iPRO, Personnel, Training &amp; people development accepted by Korpela Tuija</t>
  </si>
  <si>
    <t>DUNROBIN</t>
  </si>
  <si>
    <t>Canada</t>
  </si>
  <si>
    <t>Viitasalo Pasi</t>
  </si>
  <si>
    <t>302777</t>
  </si>
  <si>
    <t>725973481RT0001</t>
  </si>
  <si>
    <t>Van Dierdonck Niek</t>
  </si>
  <si>
    <t>nvandierdonck@redlore.com</t>
  </si>
  <si>
    <t>2021-11-08 1001 - Infor LN (SER), Indirect procurement iPRO, Professional services, Business consulting (Main category) accepted by Mäkelä Henri</t>
  </si>
  <si>
    <t>226057</t>
  </si>
  <si>
    <t>FI21123560</t>
  </si>
  <si>
    <t>lvdvrugt@vedeve.com</t>
  </si>
  <si>
    <t>Vilppula Sini</t>
  </si>
  <si>
    <t>303365</t>
  </si>
  <si>
    <t>NL814516853B01</t>
  </si>
  <si>
    <t>van de Vrugt Liane</t>
  </si>
  <si>
    <t>2021-12-20 1001 - Infor LN (AS), Indirect procurement iPRO, Professional services, Legal services (Main category) accepted by Mäkelä Henri</t>
  </si>
  <si>
    <t>indrekva@hotmail.com</t>
  </si>
  <si>
    <t>231960</t>
  </si>
  <si>
    <t>EE101142540</t>
  </si>
  <si>
    <t>306479</t>
  </si>
  <si>
    <t>NL001649334B01</t>
  </si>
  <si>
    <t>Cruz Stephen</t>
  </si>
  <si>
    <t>sales@TMFNetherlands.com</t>
  </si>
  <si>
    <t xml:space="preserve">2022-09-15 Indirect procurement iPRO, Professional services, Business consulting (Main category) accepted by </t>
  </si>
  <si>
    <t>298082</t>
  </si>
  <si>
    <t>FI31300196</t>
  </si>
  <si>
    <t>tala Kari</t>
  </si>
  <si>
    <t>kari.j.tala@gmail.com</t>
  </si>
  <si>
    <t>2020-11-30 1001 - Infor LN (COF) (Valmet), Indirect procurement iPRO, Office IT, IT consulting (Main category) accepted by Tapiola Mika</t>
  </si>
  <si>
    <t>TRZEBINIA</t>
  </si>
  <si>
    <t>sekretariat.poludnie@orlen.pl</t>
  </si>
  <si>
    <t>285793</t>
  </si>
  <si>
    <t>PL6280000977</t>
  </si>
  <si>
    <t>Bożek Beata</t>
  </si>
  <si>
    <t>beata.bozek@orlen.pl</t>
  </si>
  <si>
    <t>2023-11-22 PL348 - Valmet Automation Poland (AS), Indirect procurement iPRO, Professional services, Business consulting (Main category) accepted by Pilski Radosław</t>
  </si>
  <si>
    <t>Tyynelä Markku</t>
  </si>
  <si>
    <t>46211</t>
  </si>
  <si>
    <t>FI09826052</t>
  </si>
  <si>
    <t>2022-12-09 1001 - Infor LN (AS), Indirect procurement iPRO, Personnel, Training &amp; people development (Main category) accepted by Korpela Tuija</t>
  </si>
  <si>
    <t>TMF Group</t>
  </si>
  <si>
    <t>318050</t>
  </si>
  <si>
    <t>NL863691961B01</t>
  </si>
  <si>
    <t>Odeni Onyango</t>
  </si>
  <si>
    <t>NL-tax@tmf-group.com</t>
  </si>
  <si>
    <t>Widd Jaana</t>
  </si>
  <si>
    <t>2023-11-07 FC - Infor M3 (FC) (FC), Valmet FC Finland Oy 310, Indirect procurement iPRO, Professional services, Business consulting (Main category) accepted by Snedsböl Truls</t>
  </si>
  <si>
    <t>KLAUKKALA</t>
  </si>
  <si>
    <t>tiainen@opiks.fi</t>
  </si>
  <si>
    <t>92494</t>
  </si>
  <si>
    <t>FI19651655</t>
  </si>
  <si>
    <t>KÖYLIÖ</t>
  </si>
  <si>
    <t>info@protektu.fi</t>
  </si>
  <si>
    <t>305884</t>
  </si>
  <si>
    <t>31081376</t>
  </si>
  <si>
    <t>Uotila Juho</t>
  </si>
  <si>
    <t>juho.uotila@protektu.fi</t>
  </si>
  <si>
    <t>2022-07-19 1001 - Infor LN (PAP), Indirect procurement iPRO, Personnel, Training &amp; people development (Main category) accepted by Korpela Tuija</t>
  </si>
  <si>
    <t>EUS Holdings Ltd</t>
  </si>
  <si>
    <t>Svensson Olga</t>
  </si>
  <si>
    <t>297827</t>
  </si>
  <si>
    <t>SE556612816001</t>
  </si>
  <si>
    <t>Indirect procurement iPRO, Marketing &amp; communication, Membership &amp; association fees;Indirect procurement iPRO, Professional services, Business consulting</t>
  </si>
  <si>
    <t>Indirect procurement iPRO, Marketing &amp; communication, Membership &amp; association fees</t>
  </si>
  <si>
    <t>Gydal Blitzner Emma</t>
  </si>
  <si>
    <t>emma.gydalblitzner@eu-supply.com</t>
  </si>
  <si>
    <t>2023-10-12 270 - Valmet Power AB (POWGOT) (P&amp;E), Indirect procurement iPRO, Professional services, Business consulting (Main category) accepted by Snedsböl Truls</t>
  </si>
  <si>
    <t>info@kemesta.fi</t>
  </si>
  <si>
    <t>299249</t>
  </si>
  <si>
    <t>FI25234436</t>
  </si>
  <si>
    <t>Koponen Anita</t>
  </si>
  <si>
    <t>anita.koponen@kemesta.fi</t>
  </si>
  <si>
    <t>2021-03-19 1001 - Infor LN (P&amp;E), Indirect procurement iPRO, Professional services, Certification, standardization &amp; audits (Main category) accepted by Mäkelä Henri</t>
  </si>
  <si>
    <t>KERAVA</t>
  </si>
  <si>
    <t>INACTIVE Juhola Hannu</t>
  </si>
  <si>
    <t>315722</t>
  </si>
  <si>
    <t>FI32189792</t>
  </si>
  <si>
    <t>Mäenpää Kai</t>
  </si>
  <si>
    <t>kai.maenpaa@leanthinking.fi</t>
  </si>
  <si>
    <t>2023-06-07 FC - Infor M3 (FC) (FC), Indirect procurement iPRO, Professional services, Business consulting (Main category) accepted by Snedsböl Truls</t>
  </si>
  <si>
    <t>jorma.lohman@ttk.fi</t>
  </si>
  <si>
    <t>35428</t>
  </si>
  <si>
    <t>FI02025009</t>
  </si>
  <si>
    <t>Indirect procurement iPRO, Facilities, Security;Indirect procurement iPRO, Personnel, Training &amp; people development</t>
  </si>
  <si>
    <t>jorma lohman</t>
  </si>
  <si>
    <t>Net 90 days</t>
  </si>
  <si>
    <t>2017-09-19 368 - Valmet (China) Co., Ltd. (SHA) (PAP), Indirect procurement iPRO, Facilities, Security accepted by INACTIVE Su Yanjing</t>
  </si>
  <si>
    <t>299818</t>
  </si>
  <si>
    <t>IE3566802CH</t>
  </si>
  <si>
    <t>-</t>
  </si>
  <si>
    <t>gtrbillinginquiries@dtcc.com</t>
  </si>
  <si>
    <t>2021-04-30 1001 - Infor LN (COF) (Valmet), Indirect procurement iPRO, Professional services, Business consulting (Main category) accepted by Mäkelä Henri</t>
  </si>
  <si>
    <t>Nippon Kaiji Kyokai</t>
  </si>
  <si>
    <t>BARENDRECHT</t>
  </si>
  <si>
    <t>300800</t>
  </si>
  <si>
    <t>NL817059222B01</t>
  </si>
  <si>
    <t>Miyazaki Tetsuro</t>
  </si>
  <si>
    <t>miyazaki@classnk.or.jp</t>
  </si>
  <si>
    <t>2021-06-04 1001 - Infor LN (P&amp;E), Energy, Indirect procurement iPRO, Professional services, Certification, standardization &amp; audits (Main category) accepted by Mäkelä Henri</t>
  </si>
  <si>
    <t>ÄÄNEKOSKI</t>
  </si>
  <si>
    <t>Laukkanen Krista</t>
  </si>
  <si>
    <t>315540</t>
  </si>
  <si>
    <t>FI31004565</t>
  </si>
  <si>
    <t>Peuhkurinen Virpi</t>
  </si>
  <si>
    <t>virpi@tienhaaraoy.fi</t>
  </si>
  <si>
    <t>2023-05-25 1001 - Infor LN (PAP), Indirect procurement iPRO, Personnel, Training &amp; people development (Main category) accepted by Korpela Tuija</t>
  </si>
  <si>
    <t>664256</t>
  </si>
  <si>
    <t>Riihimäki</t>
  </si>
  <si>
    <t>RIIHIMÄKI</t>
  </si>
  <si>
    <t>246806</t>
  </si>
  <si>
    <t>FI26174893</t>
  </si>
  <si>
    <t>Horelli Jussi</t>
  </si>
  <si>
    <t>jussi.horelli@hamk.fi</t>
  </si>
  <si>
    <t>Immonen Sampo</t>
  </si>
  <si>
    <t>2023-10-12 FC - Infor M3 (FC) (FC), Valmet FC Finland Oy 310, Indirect procurement iPRO, Professional services, R&amp;D services &amp; materials accepted by Kiema Miika</t>
  </si>
  <si>
    <t>105418</t>
  </si>
  <si>
    <t>FI01286311</t>
  </si>
  <si>
    <t>Bailey Ross</t>
  </si>
  <si>
    <t>ross.bailey@wartsila.com</t>
  </si>
  <si>
    <t>2023-01-13 1001 - Infor LN (COF) (Valmet), Indirect procurement iPRO, Personnel, Training &amp; people development accepted by Korpela Tuija</t>
  </si>
  <si>
    <t>HOLZGERLINGEN</t>
  </si>
  <si>
    <t>Kulmala Sirpa</t>
  </si>
  <si>
    <t>317031</t>
  </si>
  <si>
    <t>DE129433727</t>
  </si>
  <si>
    <t>Florence Berthet</t>
  </si>
  <si>
    <t>fberthet@paulevents.com</t>
  </si>
  <si>
    <t>2023-09-20 1001 - Infor LN (P&amp;E), Energy, Indirect procurement iPRO, Professional services, Business consulting (Main category) accepted by Snedsböl Truls</t>
  </si>
  <si>
    <t>100371</t>
  </si>
  <si>
    <t>SE556641516101</t>
  </si>
  <si>
    <t>Stenborg Christina</t>
  </si>
  <si>
    <t>christina.stenborg@ceviancapital.com</t>
  </si>
  <si>
    <t>2023-01-17 1001 - Infor LN (COF) (Valmet), Indirect procurement iPRO, Professional services, Business consulting (Main category) accepted by Snedsböl Truls</t>
  </si>
  <si>
    <t>OAKVILLE</t>
  </si>
  <si>
    <t>304653</t>
  </si>
  <si>
    <t>info@kingswaysoft.com</t>
  </si>
  <si>
    <t>HAUKIPUDAS</t>
  </si>
  <si>
    <t>antti.karppa@mail.suomi.net</t>
  </si>
  <si>
    <t>156651</t>
  </si>
  <si>
    <t>FI21765942</t>
  </si>
  <si>
    <t>2024-11-20 FC - Infor M3 (FC) (FC), Valmet FC Finland Oy 310, Indirect procurement iPRO, Personnel, Training &amp; people development (Main category) accepted by Korpela Tuija</t>
  </si>
  <si>
    <t>metropolilab@hel.fi</t>
  </si>
  <si>
    <t>164594</t>
  </si>
  <si>
    <t>FI23400568</t>
  </si>
  <si>
    <t>Indirect procurement iPRO, Professional services, R&amp;D services &amp; materials;Indirect procurement iPRO, Professional services, Testing, measurement &amp; inspection</t>
  </si>
  <si>
    <t>Asikainen Hannu</t>
  </si>
  <si>
    <t>hannu.asikainen@metropolilab.fi</t>
  </si>
  <si>
    <t>2025-01-22 FC - Infor M3 (FC) (FC), Valmet FC Finland Oy 310, Indirect procurement iPRO, Professional services, Testing, measurement &amp; inspection accepted by Snedsböl Truls</t>
  </si>
  <si>
    <t>ETTERBEEK</t>
  </si>
  <si>
    <t>Jenu Teresa</t>
  </si>
  <si>
    <t>310450</t>
  </si>
  <si>
    <t>BE0524876007</t>
  </si>
  <si>
    <t>Drubina Kamilla</t>
  </si>
  <si>
    <t>kamilla.drubina@textile-platform.eu</t>
  </si>
  <si>
    <t>2022-10-26 1001 - Infor LN (P&amp;E), Fiber processing, Indirect procurement iPRO, Professional services, Business consulting (Main category) accepted by Snedsböl Truls</t>
  </si>
  <si>
    <t>asiakaspalvelu@finvoicer.fi</t>
  </si>
  <si>
    <t>39200</t>
  </si>
  <si>
    <t>FI22727454</t>
  </si>
  <si>
    <t>2023-01-29 FC - Infor M3 (FC) (FC), Indirect procurement iPRO, Professional services, Legal services (Main category) accepted by Mäkelä Henri</t>
  </si>
  <si>
    <t>KAUTTUA</t>
  </si>
  <si>
    <t>311127</t>
  </si>
  <si>
    <t>FI31389784</t>
  </si>
  <si>
    <t>Nurminen Vesa</t>
  </si>
  <si>
    <t>vesa.nurminen@kauttuanlaitosturvallisuus.fi</t>
  </si>
  <si>
    <t>2022-12-27 1001 - Infor LN (SER), Indirect procurement iPRO, Professional services, Certification, standardization &amp; audits (Main category) accepted by Snedsböl Truls</t>
  </si>
  <si>
    <t>KOUVOLA</t>
  </si>
  <si>
    <t>info@logistiikkakoulutus.fi</t>
  </si>
  <si>
    <t>159004</t>
  </si>
  <si>
    <t>FI22795238</t>
  </si>
  <si>
    <t>2022-06-02 1001 - Infor LN (AS), Indirect procurement iPRO, Personnel, Training &amp; people development (Main category) accepted by Korpela Tuija</t>
  </si>
  <si>
    <t>294182</t>
  </si>
  <si>
    <t>Lane Rachel</t>
  </si>
  <si>
    <t>rlane@tay.com</t>
  </si>
  <si>
    <t>2020-02-20 1001 - Infor LN (COF) (Valmet), Indirect procurement iPRO, Professional services, Business consulting (Main category) accepted by Mäkelä Henri</t>
  </si>
  <si>
    <t>200596</t>
  </si>
  <si>
    <t>FI24469823</t>
  </si>
  <si>
    <t>MONTREAL</t>
  </si>
  <si>
    <t>49677</t>
  </si>
  <si>
    <t>adconsys@adconsys.fi</t>
  </si>
  <si>
    <t>87647</t>
  </si>
  <si>
    <t>FI08656362</t>
  </si>
  <si>
    <t>Aronen Teemu</t>
  </si>
  <si>
    <t>teemu.aronen@adconsys.fi</t>
  </si>
  <si>
    <t>2023-02-17 1001 - Infor LN (SER), Indirect procurement iPRO, Professional services, R&amp;D services &amp; materials (Main category) accepted by Kiema Miika</t>
  </si>
  <si>
    <t>asiakas@payex.com</t>
  </si>
  <si>
    <t>140842</t>
  </si>
  <si>
    <t>FI21568113</t>
  </si>
  <si>
    <t>Rantanen Tea</t>
  </si>
  <si>
    <t>2023-10-05 FC - Infor M3 (FC) (FC), Valmet FC Finland Oy 310, Indirect procurement iPRO, Professional services, Business consulting accepted by Snedsböl Truls</t>
  </si>
  <si>
    <t>297813</t>
  </si>
  <si>
    <t>BE0841416701</t>
  </si>
  <si>
    <t>Bracke Peter</t>
  </si>
  <si>
    <t>p.bracke@antaras.be</t>
  </si>
  <si>
    <t>2020-11-05 1001 - Infor LN (PAP), Indirect procurement iPRO, Office IT, IT consulting (Main category) accepted by Tapiola Mika</t>
  </si>
  <si>
    <t>Turunen Miia</t>
  </si>
  <si>
    <t>116027</t>
  </si>
  <si>
    <t>FI29184974</t>
  </si>
  <si>
    <t>Westerholm Kari</t>
  </si>
  <si>
    <t>kari.westerholm@vehmasputki.fi</t>
  </si>
  <si>
    <t>2023-05-23 1001 - Infor LN (SER), Indirect procurement iPRO, Professional services, Business consulting (Main category) accepted by Snedsböl Truls</t>
  </si>
  <si>
    <t>252258</t>
  </si>
  <si>
    <t>LEPPÄLAHTI</t>
  </si>
  <si>
    <t>54609</t>
  </si>
  <si>
    <t>FI03571407</t>
  </si>
  <si>
    <t>Ijäs Juha</t>
  </si>
  <si>
    <t>posti@jeespap.fi</t>
  </si>
  <si>
    <t>Tarvainen Markku</t>
  </si>
  <si>
    <t>2021-05-20 1001 - Infor LN (SER), Indirect procurement iPRO, Professional services, R&amp;D services &amp; materials (Main category) accepted by Selin Tiina</t>
  </si>
  <si>
    <t>HEIDELBERG</t>
  </si>
  <si>
    <t>Peltonen Marianne</t>
  </si>
  <si>
    <t>316759</t>
  </si>
  <si>
    <t>DE143457825</t>
  </si>
  <si>
    <t>Hauer Luitgard</t>
  </si>
  <si>
    <t>hauer@eurescom.eu</t>
  </si>
  <si>
    <t>2023-08-29 FI310A - Valmet Automation Finland (AS), Indirect procurement iPRO, Professional services, R&amp;D services &amp; materials (Main category) accepted by Kiema Miika</t>
  </si>
  <si>
    <t>94360</t>
  </si>
  <si>
    <t>FI01422360</t>
  </si>
  <si>
    <t>Nuotio Mika</t>
  </si>
  <si>
    <t>315957</t>
  </si>
  <si>
    <t>FI32293012</t>
  </si>
  <si>
    <t>Kotovaara Hanna-Maria</t>
  </si>
  <si>
    <t>hannamaria@vinkei.fi</t>
  </si>
  <si>
    <t>2023-06-27 FI310A - Valmet Automation Finland (AS), Indirect procurement iPRO, Professional services, Business consulting (Main category) accepted by Snedsböl Truls</t>
  </si>
  <si>
    <t>202655</t>
  </si>
  <si>
    <t>Hussin Christopher</t>
  </si>
  <si>
    <t>chussin@boardmanclark.com</t>
  </si>
  <si>
    <t>27339</t>
  </si>
  <si>
    <t>FI02806040</t>
  </si>
  <si>
    <t>Kamotskin Minna</t>
  </si>
  <si>
    <t>minna.kamotskin@pelastustieto.fi</t>
  </si>
  <si>
    <t>2023-12-15 FC - Infor M3 (FC) (FC), Valmet FC Finland Oy 310, Indirect procurement iPRO, Personnel, Training &amp; people development (Main category) accepted by Mäkelä Henri</t>
  </si>
  <si>
    <t>kirjaamo@ruokavirasto.fi</t>
  </si>
  <si>
    <t>Keisala Anne</t>
  </si>
  <si>
    <t>293615</t>
  </si>
  <si>
    <t>FI29116867</t>
  </si>
  <si>
    <t>laskutus@ruokavirasto.fi</t>
  </si>
  <si>
    <t>2020-06-08 1001 - Infor LN (SER), Indirect procurement iPRO, Professional services, Certification, standardization &amp; audits accepted by Mäkelä Henri</t>
  </si>
  <si>
    <t>Luoma Niina</t>
  </si>
  <si>
    <t>317057</t>
  </si>
  <si>
    <t>FI02031310</t>
  </si>
  <si>
    <t>Oittinen Pia</t>
  </si>
  <si>
    <t>pia.oittinen@helao.fi</t>
  </si>
  <si>
    <t>2023-09-22 FC - Infor M3 (FC) (FC), Valmet FC Finland Oy 310, Indirect procurement iPRO, Personnel, Training &amp; people development (Main category) accepted by Mäkelä Henri</t>
  </si>
  <si>
    <t>READING</t>
  </si>
  <si>
    <t>304256</t>
  </si>
  <si>
    <t>GB299390836</t>
  </si>
  <si>
    <t>Bose Tuhin</t>
  </si>
  <si>
    <t>tuhin.bose@birlasoft.com</t>
  </si>
  <si>
    <t xml:space="preserve">2022-03-09 Indirect procurement iPRO, Office IT, IT consulting (Main category) accepted by </t>
  </si>
  <si>
    <t>Wathen Toni</t>
  </si>
  <si>
    <t>316572</t>
  </si>
  <si>
    <t>FI27522327</t>
  </si>
  <si>
    <t>Jukkala Hellevi</t>
  </si>
  <si>
    <t>hellevi.jukkala@eduko.fi</t>
  </si>
  <si>
    <t>2023-08-16 1001 - Infor LN (SER), Indirect procurement iPRO, Personnel, Training &amp; people development (Main category) accepted by Mäkelä Henri</t>
  </si>
  <si>
    <t>BUSAN</t>
  </si>
  <si>
    <t>invoice@krs.co.kr</t>
  </si>
  <si>
    <t>121311</t>
  </si>
  <si>
    <t>Kim Dogyun</t>
  </si>
  <si>
    <t>dgkim@krs.co.kr</t>
  </si>
  <si>
    <t>INACTIVE Kim Jisu</t>
  </si>
  <si>
    <t>2024-03-26 315 - Valmet Korea Inc. (DAE) (SER), Indirect procurement iPRO, Professional services, Certification, standardization &amp; audits accepted by Kohli Manmeet</t>
  </si>
  <si>
    <t>NOKIA</t>
  </si>
  <si>
    <t>sanna.pukkinen@innen.fi</t>
  </si>
  <si>
    <t>244955</t>
  </si>
  <si>
    <t>FI24865551</t>
  </si>
  <si>
    <t>innen@innen.fi</t>
  </si>
  <si>
    <t xml:space="preserve">Eduhouse Oy </t>
  </si>
  <si>
    <t>annukka.nurminen@eduhouse.fi</t>
  </si>
  <si>
    <t>198972</t>
  </si>
  <si>
    <t xml:space="preserve">FI17683995 </t>
  </si>
  <si>
    <t>Lappalainen Kristiina</t>
  </si>
  <si>
    <t>kristiina.lappalainen@eduhouse.fi</t>
  </si>
  <si>
    <t>2023-11-10 1001 - Infor LN (COF) (Valmet), Indirect procurement iPRO, Personnel, Training &amp; people development (Main category) accepted by Mäkelä Henri</t>
  </si>
  <si>
    <t>NEW DELHI</t>
  </si>
  <si>
    <t>mail@lexorbis.com</t>
  </si>
  <si>
    <t>Svelander Malin</t>
  </si>
  <si>
    <t>291377</t>
  </si>
  <si>
    <t>Singh Manisha</t>
  </si>
  <si>
    <t>manisha@lexorbis.com</t>
  </si>
  <si>
    <t>2019-08-14 641 - CAP / CAM (SWE) (P&amp;E), Indirect procurement iPRO, Professional services, Patent services (Main category) accepted by Snedsböl Truls</t>
  </si>
  <si>
    <t>kirjaamo@jyu.fi</t>
  </si>
  <si>
    <t>3527</t>
  </si>
  <si>
    <t>FI02458947</t>
  </si>
  <si>
    <t>ILMAJOKI</t>
  </si>
  <si>
    <t>315327</t>
  </si>
  <si>
    <t>FI21439135</t>
  </si>
  <si>
    <t>Koivuluoma Mikko</t>
  </si>
  <si>
    <t>mikko.koivuluoma@safetyfirst.fi</t>
  </si>
  <si>
    <t>2023-05-10 1001 - Infor LN (SER), Indirect procurement iPRO, Personnel, Training &amp; people development (Main category) accepted by Korpela Tuija</t>
  </si>
  <si>
    <t>EURAJOKI</t>
  </si>
  <si>
    <t>183815</t>
  </si>
  <si>
    <t>FI23450733</t>
  </si>
  <si>
    <t>secretariat@ehedg.org</t>
  </si>
  <si>
    <t>INACTIVE Tiainen Kaija</t>
  </si>
  <si>
    <t>289231</t>
  </si>
  <si>
    <t>NL807854013B01</t>
  </si>
  <si>
    <t>Indirect procurement iPRO, Professional services, Certification, standardization &amp; audits, R&amp;D services &amp; materials</t>
  </si>
  <si>
    <t>Bode Jessica</t>
  </si>
  <si>
    <t>jessica.bode@vdma.org</t>
  </si>
  <si>
    <t>2019-01-11 FI310A - Valmet Automation Finland (AS), Indirect procurement iPRO, Professional services, Certification, standardization &amp; audits, R&amp;D services &amp; materials (Main category) accepted by Mäkelä Henri</t>
  </si>
  <si>
    <t>mika.rantanen@sahkot.fi</t>
  </si>
  <si>
    <t>INACTIVE Taipale Marjo</t>
  </si>
  <si>
    <t>299253</t>
  </si>
  <si>
    <t>FI19801852</t>
  </si>
  <si>
    <t>Rantanen Mika</t>
  </si>
  <si>
    <t>2021-03-19 1001 - Infor LN (PAP), Indirect procurement iPRO, Personnel, Training &amp; people development (Main category) accepted by Mäkelä Henri</t>
  </si>
  <si>
    <t>298920</t>
  </si>
  <si>
    <t>FI31827721</t>
  </si>
  <si>
    <t>Järvinen Eetu</t>
  </si>
  <si>
    <t>eetu.jarvinen@primatest.fi</t>
  </si>
  <si>
    <t>2021-02-19 FI310A - Valmet Automation Finland (AS), Indirect procurement iPRO, Personnel, Training &amp; people development (Main category) accepted by Mäkelä Henri</t>
  </si>
  <si>
    <t>KEMPELE</t>
  </si>
  <si>
    <t>INACTIVE Jaakola Anne</t>
  </si>
  <si>
    <t>297545</t>
  </si>
  <si>
    <t>FI26368962</t>
  </si>
  <si>
    <t>Lampela Tomi</t>
  </si>
  <si>
    <t>info@allenatore.fi</t>
  </si>
  <si>
    <t>2020-10-12 210 - Valmet Power Finland (POWFIN) (P&amp;E), Indirect procurement iPRO, Personnel, Training &amp; people development (Main category) accepted by Mäkelä Henri</t>
  </si>
  <si>
    <t>226058</t>
  </si>
  <si>
    <t xml:space="preserve">FI21078245 </t>
  </si>
  <si>
    <t>2022-05-16 1001 - Infor LN (P&amp;E), Wood and Pulp Handling, Indirect procurement iPRO, Personnel, Training &amp; people development (Main category) accepted by Korpela Tuija</t>
  </si>
  <si>
    <t>Nordea Bank Abp</t>
  </si>
  <si>
    <t>123730</t>
  </si>
  <si>
    <t>SE663000019501</t>
  </si>
  <si>
    <t>Pessala Rose-Marie</t>
  </si>
  <si>
    <t>rose-marie.pessala@nordea.fi</t>
  </si>
  <si>
    <t xml:space="preserve">VAAOkoulutus Oy </t>
  </si>
  <si>
    <t>VALKEAKOSKI</t>
  </si>
  <si>
    <t>247407</t>
  </si>
  <si>
    <t>FI28005428</t>
  </si>
  <si>
    <t>Components and equipment, Other equipment and components;Indirect procurement iPRO, Personnel, Training &amp; people development</t>
  </si>
  <si>
    <t>2020-03-02 1001 - Infor LN (SER), Components and equipment, Other equipment and components accepted by INACTIVE Waris Jukka</t>
  </si>
  <si>
    <t>286375</t>
  </si>
  <si>
    <t>FI23402600</t>
  </si>
  <si>
    <t>Holopainen</t>
  </si>
  <si>
    <t>heikki.holopainen@viisipaivaa.fi</t>
  </si>
  <si>
    <t>2021-05-28 SAP 949 - Fabrics Tampere (SER), Indirect procurement iPRO, Professional services, Other business services accepted by Mäkelä Henri</t>
  </si>
  <si>
    <t>VARKAUS</t>
  </si>
  <si>
    <t>295727</t>
  </si>
  <si>
    <t>FI08159999</t>
  </si>
  <si>
    <t>Kinnunen Sanna</t>
  </si>
  <si>
    <t>talous@anakom.com</t>
  </si>
  <si>
    <t>2020-06-08 FI310A - Valmet Automation Finland (AS), Indirect procurement iPRO, Personnel, Training &amp; people development (Main category) accepted by Mäkelä Henri</t>
  </si>
  <si>
    <t>KOSKENKORVA</t>
  </si>
  <si>
    <t>Ojanperä Riitta</t>
  </si>
  <si>
    <t>305374</t>
  </si>
  <si>
    <t>FI27223255</t>
  </si>
  <si>
    <t>Hirvilammi Mikko</t>
  </si>
  <si>
    <t>mikko.hirvilammi@promolior.com</t>
  </si>
  <si>
    <t>2022-06-06 631 - Valmet Technologies, Inc PM (MP) (PAP), Indirect procurement iPRO, Professional services, Certification, standardization &amp; audits (Main category) accepted by Mäkelä Henri</t>
  </si>
  <si>
    <t>INACTIVE Järvinen Nenna</t>
  </si>
  <si>
    <t>309762</t>
  </si>
  <si>
    <t>FI08651326</t>
  </si>
  <si>
    <t>Kauppinen Niko</t>
  </si>
  <si>
    <t>niko.kauppinen@oljamikoti.fi</t>
  </si>
  <si>
    <t>2022-10-11 1001 - Infor LN (AS), Indirect procurement iPRO, Personnel, Training &amp; people development (Main category) accepted by Korpela Tuija</t>
  </si>
  <si>
    <t>297256</t>
  </si>
  <si>
    <t>FI30171812</t>
  </si>
  <si>
    <t>Korhonen Petri</t>
  </si>
  <si>
    <t>petri.korhonen@sutuas.fi</t>
  </si>
  <si>
    <t>2020-09-11 1001 - Infor LN (PAP), Indirect procurement iPRO, Professional services, Certification, standardization &amp; audits (Main category) accepted by Mäkelä Henri</t>
  </si>
  <si>
    <t>NACKA</t>
  </si>
  <si>
    <t>19580</t>
  </si>
  <si>
    <t>SE556134124801</t>
  </si>
  <si>
    <t>Jalomäki Vesa</t>
  </si>
  <si>
    <t>2024-10-24 FC - Infor M3 (FC) (FC), Valmet FC Finland Oy 310, Indirect procurement iPRO, Professional services, Legal services (Main category) accepted by Snedsböl Truls</t>
  </si>
  <si>
    <t>PARIS 1</t>
  </si>
  <si>
    <t>INACTIVE Suoniemi Mariella</t>
  </si>
  <si>
    <t>304708</t>
  </si>
  <si>
    <t>FR43537635476</t>
  </si>
  <si>
    <t>ABRASSART Julie</t>
  </si>
  <si>
    <t>j.abrassart@dorso-abrassart.fr</t>
  </si>
  <si>
    <t>2022-04-13 1001 - Infor LN (PAP), Indirect procurement iPRO, Professional services, Legal services (Main category) accepted by Mäkelä Henri</t>
  </si>
  <si>
    <t>Durag Group</t>
  </si>
  <si>
    <t>info@durag.com</t>
  </si>
  <si>
    <t>INACTIVE Barefoot Margrit</t>
  </si>
  <si>
    <t>301396</t>
  </si>
  <si>
    <t>DE286310733</t>
  </si>
  <si>
    <t xml:space="preserve">Vogel Renate </t>
  </si>
  <si>
    <t>renate.vogel@durag.com</t>
  </si>
  <si>
    <t>2021-07-22 167 - Pfungstadt operational (PFU) (SER), Indirect procurement iPRO, Professional services, R&amp;D services &amp; materials (Main category) accepted by INACTIVE Mantere Mika</t>
  </si>
  <si>
    <t>304377</t>
  </si>
  <si>
    <t>FI19902880</t>
  </si>
  <si>
    <t>Ollikainen Juha</t>
  </si>
  <si>
    <t>juha@idid.fi</t>
  </si>
  <si>
    <t>294856</t>
  </si>
  <si>
    <t xml:space="preserve">BE0410664742 </t>
  </si>
  <si>
    <t>Janssens Marleen</t>
  </si>
  <si>
    <t>m.janssens@mensura.be</t>
  </si>
  <si>
    <t>2020-11-05 634 - Valmet Technologies, Inc FIB Pori (MP) (P&amp;E), Indirect procurement iPRO, Professional services, Business consulting (Main category) accepted by Mäkelä Henri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</si>
</sst>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 %;\-0\ %;0\ %"/>
    <numFmt numFmtId="165" formatCode="_-* #,##0\ &quot;€&quot;_-;\-* #,##0\ &quot;€&quot;_-;_-* &quot;-&quot;??\ &quot;€&quot;_-;_-@_-"/>
    <numFmt numFmtId="166" formatCode="_-* #,##0\ [$€-1]_-;\-* #,##0\ [$€-1]_-;_-* &quot;-&quot;??\ [$€-1]_-;_-@_-"/>
    <numFmt numFmtId="167" formatCode="yyyy\-mm\-dd"/>
  </numFmts>
  <fonts count="11">
    <font>
      <sz val="11"/>
      <name val="Aptos Narrow"/>
    </font>
    <font>
      <sz val="11"/>
      <name val="Calibri"/>
    </font>
    <font>
      <b/>
      <sz val="11"/>
      <name val="Calibri"/>
      <family val="2"/>
    </font>
    <font>
      <sz val="11"/>
      <name val="Calibri"/>
      <family val="2"/>
    </font>
    <font>
      <sz val="10"/>
      <name val="Calibri"/>
      <family val="2"/>
    </font>
    <font>
      <sz val="10"/>
      <color theme="1"/>
      <name val="Aptos Narrow"/>
      <family val="2"/>
      <scheme val="minor"/>
    </font>
    <font>
      <sz val="11"/>
      <color rgb="FFFF0000"/>
      <name val="Calibri"/>
      <family val="2"/>
    </font>
    <font>
      <b/>
      <sz val="10"/>
      <name val="Calibri"/>
      <family val="2"/>
    </font>
    <font>
      <sz val="11"/>
      <name val="-Apple-System"/>
      <charset val="1"/>
    </font>
    <font>
      <sz val="11"/>
      <color indexed="8"/>
      <name val="Aptos Narrow"/>
      <family val="2"/>
      <scheme val="minor"/>
    </font>
    <font>
      <b/>
      <sz val="11"/>
      <name val="Calibri"/>
    </font>
  </fonts>
  <fills count="7">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bgColor indexed="64"/>
      </patternFill>
    </fill>
    <fill>
      <patternFill patternType="solid">
        <fgColor indexed="9"/>
      </patternFill>
    </fill>
  </fills>
  <borders count="3">
    <border>
      <left/>
      <right/>
      <top/>
      <bottom/>
      <diagonal/>
    </border>
    <border>
      <left/>
      <right/>
      <top/>
      <bottom style="thin">
        <color auto="1"/>
      </bottom>
      <diagonal/>
    </border>
    <border>
      <left style="thin">
        <color indexed="22"/>
      </left>
      <right style="thin">
        <color indexed="22"/>
      </right>
      <top/>
      <bottom style="thin">
        <color indexed="22"/>
      </bottom>
      <diagonal/>
    </border>
  </borders>
  <cellStyleXfs count="6">
    <xf numFmtId="0" fontId="0" fillId="0" borderId="0"/>
    <xf numFmtId="0" fontId="1" fillId="0" borderId="0"/>
    <xf numFmtId="44" fontId="3" fillId="0" borderId="0" applyFont="0" applyFill="0" applyBorder="0" applyAlignment="0" applyProtection="0"/>
    <xf numFmtId="0" fontId="3" fillId="0" borderId="0"/>
    <xf numFmtId="0" fontId="9" fillId="0" borderId="0"/>
    <xf numFmtId="44" fontId="9" fillId="0" borderId="0" applyFont="0" applyFill="0" applyBorder="0" applyAlignment="0" applyProtection="0"/>
  </cellStyleXfs>
  <cellXfs count="47">
    <xf numFmtId="0" fontId="0" fillId="0" borderId="0" xfId="0"/>
    <xf numFmtId="0" fontId="0" fillId="0" borderId="1" xfId="0" applyBorder="1"/>
    <xf numFmtId="3" fontId="0" fillId="0" borderId="0" xfId="0" applyNumberFormat="1"/>
    <xf numFmtId="164" fontId="0" fillId="0" borderId="0" xfId="0" applyNumberFormat="1"/>
    <xf numFmtId="0" fontId="0" fillId="0" borderId="0" xfId="0" applyAlignment="1">
      <alignment wrapText="1"/>
    </xf>
    <xf numFmtId="0" fontId="2" fillId="2" borderId="0" xfId="1" applyFont="1" applyFill="1" applyAlignment="1">
      <alignment wrapText="1"/>
    </xf>
    <xf numFmtId="166" fontId="2" fillId="2" borderId="0" xfId="2" applyNumberFormat="1" applyFont="1" applyFill="1" applyAlignment="1">
      <alignment wrapText="1"/>
    </xf>
    <xf numFmtId="0" fontId="2" fillId="2" borderId="0" xfId="1" applyFont="1" applyFill="1" applyAlignment="1">
      <alignment horizontal="center" vertical="center" wrapText="1"/>
    </xf>
    <xf numFmtId="0" fontId="2" fillId="2" borderId="0" xfId="1" applyFont="1" applyFill="1" applyAlignment="1">
      <alignment horizontal="center" wrapText="1"/>
    </xf>
    <xf numFmtId="0" fontId="2" fillId="2" borderId="0" xfId="1" applyFont="1" applyFill="1" applyAlignment="1">
      <alignment horizontal="left" wrapText="1"/>
    </xf>
    <xf numFmtId="0" fontId="2" fillId="3" borderId="0" xfId="1" applyFont="1" applyFill="1" applyAlignment="1">
      <alignment wrapText="1"/>
    </xf>
    <xf numFmtId="0" fontId="2" fillId="0" borderId="0" xfId="3" applyFont="1"/>
    <xf numFmtId="0" fontId="3" fillId="0" borderId="0" xfId="3" applyAlignment="1">
      <alignment horizontal="center" vertical="center"/>
    </xf>
    <xf numFmtId="165" fontId="4" fillId="0" borderId="0" xfId="2" applyNumberFormat="1" applyFont="1"/>
    <xf numFmtId="0" fontId="3" fillId="0" borderId="0" xfId="3"/>
    <xf numFmtId="0" fontId="1" fillId="0" borderId="0" xfId="1" applyAlignment="1">
      <alignment horizontal="center" vertical="center"/>
    </xf>
    <xf numFmtId="0" fontId="1" fillId="0" borderId="0" xfId="1" applyAlignment="1">
      <alignment vertical="top" wrapText="1"/>
    </xf>
    <xf numFmtId="0" fontId="1" fillId="0" borderId="0" xfId="1" applyAlignment="1">
      <alignment horizontal="left" vertical="top" wrapText="1"/>
    </xf>
    <xf numFmtId="0" fontId="1" fillId="0" borderId="0" xfId="1"/>
    <xf numFmtId="0" fontId="1" fillId="0" borderId="0" xfId="1" applyAlignment="1">
      <alignment wrapText="1"/>
    </xf>
    <xf numFmtId="166" fontId="0" fillId="0" borderId="0" xfId="2" applyNumberFormat="1" applyFont="1"/>
    <xf numFmtId="0" fontId="3" fillId="0" borderId="0" xfId="1" applyFont="1" applyAlignment="1">
      <alignment horizontal="center" vertical="center"/>
    </xf>
    <xf numFmtId="0" fontId="3" fillId="0" borderId="0" xfId="1" applyFont="1" applyAlignment="1">
      <alignment vertical="top" wrapText="1"/>
    </xf>
    <xf numFmtId="0" fontId="3" fillId="0" borderId="0" xfId="1" applyFont="1" applyAlignment="1">
      <alignment wrapText="1"/>
    </xf>
    <xf numFmtId="165" fontId="5" fillId="0" borderId="0" xfId="2" applyNumberFormat="1" applyFont="1" applyFill="1" applyBorder="1" applyAlignment="1">
      <alignment horizontal="right" wrapText="1"/>
    </xf>
    <xf numFmtId="166" fontId="3" fillId="0" borderId="0" xfId="2" applyNumberFormat="1" applyFont="1"/>
    <xf numFmtId="166" fontId="3" fillId="0" borderId="0" xfId="2" applyNumberFormat="1"/>
    <xf numFmtId="0" fontId="3" fillId="0" borderId="0" xfId="1" applyFont="1" applyAlignment="1">
      <alignment horizontal="left" vertical="top" wrapText="1"/>
    </xf>
    <xf numFmtId="0" fontId="1" fillId="4" borderId="0" xfId="1" applyFill="1" applyAlignment="1">
      <alignment horizontal="center" vertical="center"/>
    </xf>
    <xf numFmtId="0" fontId="3" fillId="0" borderId="0" xfId="1" applyFont="1" applyAlignment="1">
      <alignment horizontal="center" vertical="center" wrapText="1"/>
    </xf>
    <xf numFmtId="166" fontId="3" fillId="0" borderId="0" xfId="3" applyNumberFormat="1"/>
    <xf numFmtId="0" fontId="6" fillId="0" borderId="0" xfId="1" applyFont="1" applyAlignment="1">
      <alignment wrapText="1"/>
    </xf>
    <xf numFmtId="0" fontId="3" fillId="0" borderId="0" xfId="1" applyFont="1"/>
    <xf numFmtId="0" fontId="1" fillId="3" borderId="0" xfId="1" applyFill="1" applyAlignment="1">
      <alignment wrapText="1"/>
    </xf>
    <xf numFmtId="0" fontId="1" fillId="0" borderId="0" xfId="1" applyAlignment="1">
      <alignment horizontal="center" vertical="center" wrapText="1"/>
    </xf>
    <xf numFmtId="0" fontId="3" fillId="5" borderId="0" xfId="1" applyFont="1" applyFill="1" applyAlignment="1">
      <alignment horizontal="center" vertical="center"/>
    </xf>
    <xf numFmtId="0" fontId="3" fillId="0" borderId="0" xfId="3" applyAlignment="1">
      <alignment horizontal="left" vertical="top" wrapText="1"/>
    </xf>
    <xf numFmtId="0" fontId="7" fillId="0" borderId="0" xfId="1" applyFont="1"/>
    <xf numFmtId="0" fontId="2" fillId="0" borderId="0" xfId="1" applyFont="1"/>
    <xf numFmtId="0" fontId="8" fillId="0" borderId="0" xfId="1" applyFont="1"/>
    <xf numFmtId="0" fontId="1" fillId="0" borderId="0" xfId="1" applyAlignment="1">
      <alignment vertical="center" wrapText="1"/>
    </xf>
    <xf numFmtId="0" fontId="10" fillId="6" borderId="0" xfId="4" applyFont="1" applyFill="1"/>
    <xf numFmtId="165" fontId="10" fillId="3" borderId="0" xfId="5" applyNumberFormat="1" applyFont="1" applyFill="1"/>
    <xf numFmtId="0" fontId="10" fillId="3" borderId="0" xfId="4" applyFont="1" applyFill="1"/>
    <xf numFmtId="0" fontId="9" fillId="0" borderId="0" xfId="4"/>
    <xf numFmtId="167" fontId="9" fillId="6" borderId="2" xfId="4" applyNumberFormat="1" applyFill="1" applyBorder="1"/>
    <xf numFmtId="165" fontId="0" fillId="0" borderId="0" xfId="5" applyNumberFormat="1" applyFont="1"/>
  </cellXfs>
  <cellStyles count="6">
    <cellStyle name="Currency 2" xfId="2" xr:uid="{EBC350BB-C237-4088-984F-691E27EF0634}"/>
    <cellStyle name="Currency 3" xfId="5" xr:uid="{D61694BF-8F34-413C-B698-67A60B223300}"/>
    <cellStyle name="Normal" xfId="0" builtinId="0"/>
    <cellStyle name="Normal 2" xfId="1" xr:uid="{A5EA2783-BBAA-41DB-B459-CED8C7B3468E}"/>
    <cellStyle name="Normal 2 2" xfId="3" xr:uid="{9470C23C-39A8-4C54-AAFC-489DC3802D0D}"/>
    <cellStyle name="Normal 3" xfId="4" xr:uid="{5522C35A-E9B1-404C-88F9-3F21046CCD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Taija Jalova" id="{2ED3CDD3-6CE5-48BC-85F8-FCB8952D1EFE}" userId="S::taija.jalova@valmet.com::c69def86-4882-4553-bb44-8b1a7dbbbd4c" providerId="AD"/>
  <person displayName="Tuija Korpela" id="{A3D866BE-4970-4C7D-872F-D0BE866EE840}" userId="S::tuija.korpela@valmet.com::c06a3bca-b5e6-46cf-bb9d-35d13c3ef71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3" dT="2025-09-19T06:24:11.92" personId="{2ED3CDD3-6CE5-48BC-85F8-FCB8952D1EFE}" id="{294B5E02-6DF7-4A79-8C48-FEA82BEA0484}">
    <text>For POC: A = Preferred vendor, B=want to keep, but not preferred or un-preferred, C=unpreferred, low spend or replacement available</text>
  </threadedComment>
  <threadedComment ref="M3" dT="2025-09-19T06:25:04.35" personId="{2ED3CDD3-6CE5-48BC-85F8-FCB8952D1EFE}" id="{08BAD6A2-FD76-4B85-9723-7E72B3429958}">
    <text>Manufactured data for POC</text>
  </threadedComment>
  <threadedComment ref="H44" dT="2024-08-20T06:27:46.11" personId="{A3D866BE-4970-4C7D-872F-D0BE866EE840}" id="{1302F8BA-6668-406F-927A-DFB2E8805F32}">
    <text>Tuija will check invoices, after which P&amp;E and AUT HRBPs included</text>
  </threadedComment>
  <threadedComment ref="H44" dT="2024-09-23T05:55:12.56" personId="{A3D866BE-4970-4C7D-872F-D0BE866EE840}" id="{C8119461-0474-491F-B97B-A4F1D5EAAB9F}" parentId="{1302F8BA-6668-406F-927A-DFB2E8805F32}">
    <text xml:space="preserve">Invoices sent to Johanna Ahokas - her reply 22.9.: palvelu ei ole sellaista jota ei voitaisi hankkia muualta. Vastaavalle palvelulle on käyttöä jatkossa.
En ole vielä ehtinyt kyselemään kuinka paljon häntä jatkossa olisi tarvetta käyttää mutta arvioisin 
että vähenevissä määrin varsinkin jos saamma vastaavan palveluntuottajan tilalle.
</text>
  </threadedComment>
  <threadedComment ref="L47" dT="2024-09-26T13:46:32.09" personId="{A3D866BE-4970-4C7D-872F-D0BE866EE840}" id="{F1DD4D1D-6E97-445C-AFFA-27EE253E586F}">
    <text>Sent a mail</text>
  </threadedComment>
  <threadedComment ref="L47" dT="2024-10-04T11:55:39.40" personId="{A3D866BE-4970-4C7D-872F-D0BE866EE840}" id="{D48A799A-E781-4ADC-AA0F-CB3DBE8A35AF}" parentId="{F1DD4D1D-6E97-445C-AFFA-27EE253E586F}">
    <text xml:space="preserve">Satu Pennanen: 
Meillä on vuoden loppuun asti menossa proggis, missä Elina on mukana. 
</text>
  </threadedComment>
  <threadedComment ref="L54" dT="2024-09-26T13:46:51.41" personId="{A3D866BE-4970-4C7D-872F-D0BE866EE840}" id="{46508C1F-400E-4D67-8135-B9A12B7E8EF1}">
    <text>Sent a mail</text>
  </threadedComment>
  <threadedComment ref="H57" dT="2024-10-04T10:53:39.44" personId="{A3D866BE-4970-4C7D-872F-D0BE866EE840}" id="{0D89E9AD-6C50-46F9-9FD1-3C160974B197}">
    <text xml:space="preserve">Need for a comprehensive analysis on well-being related services &amp; suppliers </text>
  </threadedComment>
  <threadedComment ref="H58" dT="2025-01-31T07:49:18.89" personId="{A3D866BE-4970-4C7D-872F-D0BE866EE840}" id="{1143FB7D-B14D-45CA-B665-C758A515C334}">
    <text>Tuija to share invoice data with Maria</text>
  </threadedComment>
  <threadedComment ref="L60" dT="2024-09-27T06:27:03.54" personId="{A3D866BE-4970-4C7D-872F-D0BE866EE840}" id="{AA8C2DCF-478E-46C7-A46E-9B9C3F62BE8A}">
    <text xml:space="preserve">Question sent
</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4"/>
  <sheetViews>
    <sheetView tabSelected="1" workbookViewId="0">
      <selection activeCell="D15" sqref="D15"/>
    </sheetView>
  </sheetViews>
  <sheetFormatPr defaultRowHeight="14.5"/>
  <cols>
    <col min="1" max="1" width="58.36328125" bestFit="1" customWidth="1"/>
    <col min="2" max="2" width="11.26953125" bestFit="1" customWidth="1"/>
    <col min="3" max="3" width="24.54296875" bestFit="1" customWidth="1"/>
    <col min="4" max="4" width="41" bestFit="1" customWidth="1"/>
    <col min="5" max="5" width="8.54296875" bestFit="1" customWidth="1"/>
    <col min="6" max="6" width="12.54296875" bestFit="1" customWidth="1"/>
    <col min="7" max="7" width="13.6328125" bestFit="1" customWidth="1"/>
    <col min="8" max="8" width="29" bestFit="1" customWidth="1"/>
    <col min="9" max="9" width="24.54296875" bestFit="1" customWidth="1"/>
    <col min="10" max="10" width="58.36328125" bestFit="1" customWidth="1"/>
    <col min="11" max="11" width="53.7265625" bestFit="1" customWidth="1"/>
    <col min="12" max="12" width="33.36328125" bestFit="1" customWidth="1"/>
    <col min="13" max="13" width="17.81640625" bestFit="1" customWidth="1"/>
    <col min="14" max="14" width="21.81640625" bestFit="1"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94</v>
      </c>
      <c r="B2" t="s">
        <v>95</v>
      </c>
      <c r="C2" t="s">
        <v>30</v>
      </c>
      <c r="D2" t="s">
        <v>96</v>
      </c>
      <c r="E2" s="2">
        <v>37788.89</v>
      </c>
      <c r="F2" s="3"/>
      <c r="G2" s="3"/>
      <c r="H2" s="3"/>
      <c r="I2" s="2">
        <v>67</v>
      </c>
      <c r="J2">
        <v>23.575455113923695</v>
      </c>
      <c r="K2">
        <v>15.980052867390388</v>
      </c>
      <c r="L2" t="s">
        <v>39</v>
      </c>
      <c r="M2" t="s">
        <v>19</v>
      </c>
      <c r="N2" t="s">
        <v>20</v>
      </c>
    </row>
    <row r="3" spans="1:14">
      <c r="A3" t="s">
        <v>127</v>
      </c>
      <c r="B3" t="s">
        <v>128</v>
      </c>
      <c r="C3" t="s">
        <v>30</v>
      </c>
      <c r="D3" t="s">
        <v>96</v>
      </c>
      <c r="E3" s="2">
        <v>692085.00000000035</v>
      </c>
      <c r="F3" s="3"/>
      <c r="G3" s="3"/>
      <c r="H3" s="3"/>
      <c r="I3" s="2">
        <v>44</v>
      </c>
      <c r="J3">
        <v>77.293243685344564</v>
      </c>
      <c r="K3">
        <v>57.992501757988016</v>
      </c>
      <c r="L3" t="s">
        <v>18</v>
      </c>
      <c r="M3" t="s">
        <v>19</v>
      </c>
      <c r="N3" t="s">
        <v>20</v>
      </c>
    </row>
    <row r="4" spans="1:14">
      <c r="A4" t="s">
        <v>129</v>
      </c>
      <c r="B4" t="s">
        <v>130</v>
      </c>
      <c r="C4" t="s">
        <v>30</v>
      </c>
      <c r="D4" t="s">
        <v>96</v>
      </c>
      <c r="E4" s="2">
        <v>38500</v>
      </c>
      <c r="F4" s="3"/>
      <c r="G4" s="3"/>
      <c r="H4" s="3"/>
      <c r="I4" s="2">
        <v>43</v>
      </c>
      <c r="J4">
        <v>29.890909090909091</v>
      </c>
      <c r="K4">
        <v>14</v>
      </c>
      <c r="L4" t="s">
        <v>18</v>
      </c>
      <c r="M4" t="s">
        <v>19</v>
      </c>
      <c r="N4" t="s">
        <v>20</v>
      </c>
    </row>
    <row r="5" spans="1:14">
      <c r="A5" t="s">
        <v>141</v>
      </c>
      <c r="B5" t="s">
        <v>142</v>
      </c>
      <c r="C5" t="s">
        <v>30</v>
      </c>
      <c r="D5" t="s">
        <v>96</v>
      </c>
      <c r="E5" s="2">
        <v>24830.140000000003</v>
      </c>
      <c r="F5" s="3"/>
      <c r="G5" s="3">
        <v>2.5000000000000001E-2</v>
      </c>
      <c r="H5" s="3">
        <v>4.2287316946259659E-2</v>
      </c>
      <c r="I5" s="2">
        <v>40</v>
      </c>
      <c r="J5">
        <v>24.526367551693216</v>
      </c>
      <c r="K5">
        <v>17.103566874773961</v>
      </c>
      <c r="L5" t="s">
        <v>39</v>
      </c>
      <c r="M5" t="s">
        <v>20</v>
      </c>
      <c r="N5" t="s">
        <v>20</v>
      </c>
    </row>
    <row r="6" spans="1:14">
      <c r="A6" t="s">
        <v>149</v>
      </c>
      <c r="B6" t="s">
        <v>150</v>
      </c>
      <c r="C6" t="s">
        <v>30</v>
      </c>
      <c r="D6" t="s">
        <v>96</v>
      </c>
      <c r="E6" s="2">
        <v>6838.1900000000032</v>
      </c>
      <c r="F6" s="3"/>
      <c r="G6" s="3"/>
      <c r="H6" s="3"/>
      <c r="I6" s="2">
        <v>39</v>
      </c>
      <c r="J6">
        <v>29.872836232979772</v>
      </c>
      <c r="K6">
        <v>25.732554959718865</v>
      </c>
      <c r="L6" t="s">
        <v>24</v>
      </c>
      <c r="M6" t="s">
        <v>20</v>
      </c>
      <c r="N6" t="s">
        <v>20</v>
      </c>
    </row>
    <row r="7" spans="1:14">
      <c r="A7" t="s">
        <v>193</v>
      </c>
      <c r="B7" t="s">
        <v>194</v>
      </c>
      <c r="C7" t="s">
        <v>30</v>
      </c>
      <c r="D7" t="s">
        <v>96</v>
      </c>
      <c r="E7" s="2">
        <v>53171.15</v>
      </c>
      <c r="F7" s="3"/>
      <c r="G7" s="3"/>
      <c r="H7" s="3"/>
      <c r="I7" s="2">
        <v>24</v>
      </c>
      <c r="J7">
        <v>57.415873269620832</v>
      </c>
      <c r="K7">
        <v>55.768381913876183</v>
      </c>
      <c r="L7" t="s">
        <v>39</v>
      </c>
      <c r="M7" t="s">
        <v>20</v>
      </c>
      <c r="N7" t="s">
        <v>20</v>
      </c>
    </row>
    <row r="8" spans="1:14">
      <c r="A8" t="s">
        <v>227</v>
      </c>
      <c r="B8" t="s">
        <v>228</v>
      </c>
      <c r="C8" t="s">
        <v>30</v>
      </c>
      <c r="D8" t="s">
        <v>96</v>
      </c>
      <c r="E8" s="2">
        <v>16135</v>
      </c>
      <c r="F8" s="3"/>
      <c r="G8" s="3"/>
      <c r="H8" s="3"/>
      <c r="I8" s="2">
        <v>20</v>
      </c>
      <c r="J8">
        <v>45.560377898654451</v>
      </c>
      <c r="K8">
        <v>45</v>
      </c>
      <c r="L8" t="s">
        <v>39</v>
      </c>
      <c r="M8" t="s">
        <v>20</v>
      </c>
      <c r="N8" t="s">
        <v>19</v>
      </c>
    </row>
    <row r="9" spans="1:14">
      <c r="A9" t="s">
        <v>236</v>
      </c>
      <c r="B9" t="s">
        <v>237</v>
      </c>
      <c r="C9" t="s">
        <v>30</v>
      </c>
      <c r="D9" t="s">
        <v>96</v>
      </c>
      <c r="E9" s="2">
        <v>26682.13</v>
      </c>
      <c r="F9" s="3"/>
      <c r="G9" s="3"/>
      <c r="H9" s="3"/>
      <c r="I9" s="2">
        <v>19</v>
      </c>
      <c r="J9">
        <v>59.468496705472909</v>
      </c>
      <c r="K9">
        <v>59.999999999999993</v>
      </c>
      <c r="L9" t="s">
        <v>18</v>
      </c>
      <c r="M9" t="s">
        <v>19</v>
      </c>
      <c r="N9" t="s">
        <v>20</v>
      </c>
    </row>
    <row r="10" spans="1:14">
      <c r="A10" t="s">
        <v>262</v>
      </c>
      <c r="B10" t="s">
        <v>263</v>
      </c>
      <c r="C10" t="s">
        <v>30</v>
      </c>
      <c r="D10" t="s">
        <v>96</v>
      </c>
      <c r="E10" s="2">
        <v>56523.340000000084</v>
      </c>
      <c r="F10" s="3"/>
      <c r="G10" s="3"/>
      <c r="H10" s="3"/>
      <c r="I10" s="2">
        <v>15</v>
      </c>
      <c r="J10">
        <v>24.355071020219196</v>
      </c>
      <c r="K10">
        <v>3.9275810665116335</v>
      </c>
      <c r="L10" t="s">
        <v>39</v>
      </c>
      <c r="M10" t="s">
        <v>19</v>
      </c>
      <c r="N10" t="s">
        <v>19</v>
      </c>
    </row>
    <row r="11" spans="1:14">
      <c r="A11" t="s">
        <v>276</v>
      </c>
      <c r="B11" t="s">
        <v>277</v>
      </c>
      <c r="C11" t="s">
        <v>30</v>
      </c>
      <c r="D11" t="s">
        <v>96</v>
      </c>
      <c r="E11" s="2">
        <v>53685.65</v>
      </c>
      <c r="F11" s="3"/>
      <c r="G11" s="3">
        <v>7.1428571428571425E-2</v>
      </c>
      <c r="H11" s="3">
        <v>2.3986856823005775E-2</v>
      </c>
      <c r="I11" s="2">
        <v>14</v>
      </c>
      <c r="J11">
        <v>45.386410388328933</v>
      </c>
      <c r="K11">
        <v>35.146940178911613</v>
      </c>
      <c r="L11" t="s">
        <v>34</v>
      </c>
      <c r="M11" t="s">
        <v>20</v>
      </c>
      <c r="N11" t="s">
        <v>19</v>
      </c>
    </row>
    <row r="12" spans="1:14">
      <c r="A12" t="s">
        <v>284</v>
      </c>
      <c r="B12" t="s">
        <v>285</v>
      </c>
      <c r="C12" t="s">
        <v>30</v>
      </c>
      <c r="D12" t="s">
        <v>96</v>
      </c>
      <c r="E12" s="2">
        <v>37360</v>
      </c>
      <c r="F12" s="3"/>
      <c r="G12" s="3"/>
      <c r="H12" s="3"/>
      <c r="I12" s="2">
        <v>14</v>
      </c>
      <c r="J12">
        <v>25.551659528907923</v>
      </c>
      <c r="K12">
        <v>24.27382226980728</v>
      </c>
      <c r="L12" t="s">
        <v>39</v>
      </c>
      <c r="M12" t="s">
        <v>20</v>
      </c>
      <c r="N12" t="s">
        <v>19</v>
      </c>
    </row>
    <row r="13" spans="1:14">
      <c r="A13" t="s">
        <v>286</v>
      </c>
      <c r="B13" t="s">
        <v>287</v>
      </c>
      <c r="C13" t="s">
        <v>30</v>
      </c>
      <c r="D13" t="s">
        <v>96</v>
      </c>
      <c r="E13" s="2">
        <v>10751.26</v>
      </c>
      <c r="F13" s="3"/>
      <c r="G13" s="3"/>
      <c r="H13" s="3"/>
      <c r="I13" s="2">
        <v>13</v>
      </c>
      <c r="J13">
        <v>68.164944387913607</v>
      </c>
      <c r="K13">
        <v>29.732124420765569</v>
      </c>
      <c r="L13" t="s">
        <v>34</v>
      </c>
      <c r="M13" t="s">
        <v>19</v>
      </c>
      <c r="N13" t="s">
        <v>19</v>
      </c>
    </row>
    <row r="14" spans="1:14">
      <c r="A14" t="s">
        <v>292</v>
      </c>
      <c r="B14" t="s">
        <v>293</v>
      </c>
      <c r="C14" t="s">
        <v>30</v>
      </c>
      <c r="D14" t="s">
        <v>96</v>
      </c>
      <c r="E14" s="2">
        <v>58512</v>
      </c>
      <c r="F14" s="3"/>
      <c r="G14" s="3"/>
      <c r="H14" s="3"/>
      <c r="I14" s="2">
        <v>13</v>
      </c>
      <c r="J14">
        <v>135.53199343724364</v>
      </c>
      <c r="K14">
        <v>165.73174733388024</v>
      </c>
      <c r="L14" t="s">
        <v>18</v>
      </c>
      <c r="M14" t="s">
        <v>19</v>
      </c>
      <c r="N14" t="s">
        <v>20</v>
      </c>
    </row>
    <row r="15" spans="1:14">
      <c r="A15" t="s">
        <v>298</v>
      </c>
      <c r="B15" t="s">
        <v>299</v>
      </c>
      <c r="C15" t="s">
        <v>30</v>
      </c>
      <c r="D15" t="s">
        <v>96</v>
      </c>
      <c r="E15" s="2">
        <v>19549.560000000001</v>
      </c>
      <c r="F15" s="3"/>
      <c r="G15" s="3">
        <v>0.15384615384615385</v>
      </c>
      <c r="H15" s="3">
        <v>0.4056152670443734</v>
      </c>
      <c r="I15" s="2">
        <v>13</v>
      </c>
      <c r="J15">
        <v>50.451246984586859</v>
      </c>
      <c r="K15">
        <v>53.915770994334402</v>
      </c>
      <c r="L15" t="s">
        <v>39</v>
      </c>
      <c r="M15" t="s">
        <v>20</v>
      </c>
      <c r="N15" t="s">
        <v>20</v>
      </c>
    </row>
    <row r="16" spans="1:14">
      <c r="A16" t="s">
        <v>302</v>
      </c>
      <c r="B16" t="s">
        <v>303</v>
      </c>
      <c r="C16" t="s">
        <v>30</v>
      </c>
      <c r="D16" t="s">
        <v>96</v>
      </c>
      <c r="E16" s="2">
        <v>31866</v>
      </c>
      <c r="F16" s="3"/>
      <c r="G16" s="3"/>
      <c r="H16" s="3"/>
      <c r="I16" s="2">
        <v>13</v>
      </c>
      <c r="J16">
        <v>39.680261973492257</v>
      </c>
      <c r="K16">
        <v>25.15535276406866</v>
      </c>
      <c r="L16" t="s">
        <v>39</v>
      </c>
      <c r="M16" t="s">
        <v>20</v>
      </c>
      <c r="N16" t="s">
        <v>19</v>
      </c>
    </row>
    <row r="17" spans="1:14">
      <c r="A17" t="s">
        <v>306</v>
      </c>
      <c r="B17" t="s">
        <v>307</v>
      </c>
      <c r="C17" t="s">
        <v>30</v>
      </c>
      <c r="D17" t="s">
        <v>96</v>
      </c>
      <c r="E17" s="2">
        <v>1524625.7599999998</v>
      </c>
      <c r="F17" s="3"/>
      <c r="G17" s="3"/>
      <c r="H17" s="3"/>
      <c r="I17" s="2">
        <v>13</v>
      </c>
      <c r="J17">
        <v>62.97137831167317</v>
      </c>
      <c r="K17">
        <v>60</v>
      </c>
      <c r="L17" t="s">
        <v>18</v>
      </c>
      <c r="M17" t="s">
        <v>20</v>
      </c>
      <c r="N17" t="s">
        <v>19</v>
      </c>
    </row>
    <row r="18" spans="1:14">
      <c r="A18" t="s">
        <v>345</v>
      </c>
      <c r="B18" t="s">
        <v>346</v>
      </c>
      <c r="C18" t="s">
        <v>30</v>
      </c>
      <c r="D18" t="s">
        <v>96</v>
      </c>
      <c r="E18" s="2">
        <v>7325</v>
      </c>
      <c r="F18" s="3"/>
      <c r="G18" s="3"/>
      <c r="H18" s="3"/>
      <c r="I18" s="2">
        <v>12</v>
      </c>
      <c r="J18">
        <v>19.112627986348123</v>
      </c>
      <c r="K18">
        <v>17.767918088737201</v>
      </c>
      <c r="L18" t="s">
        <v>18</v>
      </c>
      <c r="M18" t="s">
        <v>19</v>
      </c>
      <c r="N18" t="s">
        <v>20</v>
      </c>
    </row>
    <row r="19" spans="1:14">
      <c r="A19" t="s">
        <v>356</v>
      </c>
      <c r="B19" t="s">
        <v>357</v>
      </c>
      <c r="C19" t="s">
        <v>30</v>
      </c>
      <c r="D19" t="s">
        <v>96</v>
      </c>
      <c r="E19" s="2">
        <v>220586.65000000002</v>
      </c>
      <c r="F19" s="3"/>
      <c r="G19" s="3"/>
      <c r="H19" s="3"/>
      <c r="I19" s="2">
        <v>11</v>
      </c>
      <c r="J19">
        <v>42.55256050173481</v>
      </c>
      <c r="K19">
        <v>40.944001778892783</v>
      </c>
      <c r="L19" t="s">
        <v>39</v>
      </c>
      <c r="M19" t="s">
        <v>19</v>
      </c>
      <c r="N19" t="s">
        <v>20</v>
      </c>
    </row>
    <row r="20" spans="1:14">
      <c r="A20" t="s">
        <v>386</v>
      </c>
      <c r="B20" t="s">
        <v>387</v>
      </c>
      <c r="C20" t="s">
        <v>30</v>
      </c>
      <c r="D20" t="s">
        <v>96</v>
      </c>
      <c r="E20" s="2">
        <v>2361</v>
      </c>
      <c r="F20" s="3"/>
      <c r="G20" s="3"/>
      <c r="H20" s="3"/>
      <c r="I20" s="2">
        <v>11</v>
      </c>
      <c r="J20">
        <v>26.824227022448117</v>
      </c>
      <c r="K20">
        <v>29.351969504447268</v>
      </c>
      <c r="L20" t="s">
        <v>24</v>
      </c>
      <c r="M20" t="s">
        <v>20</v>
      </c>
      <c r="N20" t="s">
        <v>19</v>
      </c>
    </row>
    <row r="21" spans="1:14">
      <c r="A21" t="s">
        <v>392</v>
      </c>
      <c r="B21" t="s">
        <v>393</v>
      </c>
      <c r="C21" t="s">
        <v>30</v>
      </c>
      <c r="D21" t="s">
        <v>96</v>
      </c>
      <c r="E21" s="2">
        <v>1401.9</v>
      </c>
      <c r="F21" s="3"/>
      <c r="G21" s="3"/>
      <c r="H21" s="3"/>
      <c r="I21" s="2">
        <v>11</v>
      </c>
      <c r="J21">
        <v>29.726799343747768</v>
      </c>
      <c r="K21">
        <v>13.999999999999998</v>
      </c>
      <c r="L21" t="s">
        <v>39</v>
      </c>
      <c r="M21" t="s">
        <v>20</v>
      </c>
      <c r="N21" t="s">
        <v>19</v>
      </c>
    </row>
    <row r="22" spans="1:14">
      <c r="A22" t="s">
        <v>398</v>
      </c>
      <c r="B22" t="s">
        <v>399</v>
      </c>
      <c r="C22" t="s">
        <v>30</v>
      </c>
      <c r="D22" t="s">
        <v>96</v>
      </c>
      <c r="E22" s="2">
        <v>28297.19</v>
      </c>
      <c r="F22" s="3"/>
      <c r="G22" s="3"/>
      <c r="H22" s="3"/>
      <c r="I22" s="2">
        <v>10</v>
      </c>
      <c r="J22">
        <v>56.380030313964035</v>
      </c>
      <c r="K22">
        <v>52.759061942192851</v>
      </c>
      <c r="L22" t="s">
        <v>18</v>
      </c>
      <c r="M22" t="s">
        <v>19</v>
      </c>
      <c r="N22" t="s">
        <v>20</v>
      </c>
    </row>
    <row r="23" spans="1:14">
      <c r="A23" t="s">
        <v>412</v>
      </c>
      <c r="B23" t="s">
        <v>413</v>
      </c>
      <c r="C23" t="s">
        <v>30</v>
      </c>
      <c r="D23" t="s">
        <v>96</v>
      </c>
      <c r="E23" s="2">
        <v>1791.99</v>
      </c>
      <c r="F23" s="3"/>
      <c r="G23" s="3"/>
      <c r="H23" s="3"/>
      <c r="I23" s="2">
        <v>10</v>
      </c>
      <c r="J23">
        <v>19.333271949062215</v>
      </c>
      <c r="K23">
        <v>7.9285654495839823</v>
      </c>
      <c r="L23" t="s">
        <v>24</v>
      </c>
      <c r="M23" t="s">
        <v>19</v>
      </c>
      <c r="N23" t="s">
        <v>20</v>
      </c>
    </row>
    <row r="24" spans="1:14">
      <c r="A24" t="s">
        <v>435</v>
      </c>
      <c r="B24" t="s">
        <v>436</v>
      </c>
      <c r="C24" t="s">
        <v>30</v>
      </c>
      <c r="D24" t="s">
        <v>96</v>
      </c>
      <c r="E24" s="2">
        <v>48739.9</v>
      </c>
      <c r="F24" s="3"/>
      <c r="G24" s="3">
        <v>0.77777777777777779</v>
      </c>
      <c r="H24" s="3">
        <v>0.71891612416110828</v>
      </c>
      <c r="I24" s="2">
        <v>9</v>
      </c>
      <c r="J24">
        <v>64.683509814341022</v>
      </c>
      <c r="K24">
        <v>49.938530854597566</v>
      </c>
      <c r="L24" t="s">
        <v>18</v>
      </c>
      <c r="M24" t="s">
        <v>20</v>
      </c>
      <c r="N24" t="s">
        <v>19</v>
      </c>
    </row>
    <row r="25" spans="1:14">
      <c r="A25" t="s">
        <v>456</v>
      </c>
      <c r="B25" t="s">
        <v>457</v>
      </c>
      <c r="C25" t="s">
        <v>30</v>
      </c>
      <c r="D25" t="s">
        <v>96</v>
      </c>
      <c r="E25" s="2">
        <v>52639</v>
      </c>
      <c r="F25" s="3"/>
      <c r="G25" s="3"/>
      <c r="H25" s="3"/>
      <c r="I25" s="2">
        <v>8</v>
      </c>
      <c r="J25">
        <v>24.175706225422214</v>
      </c>
      <c r="K25">
        <v>11.872300005699197</v>
      </c>
      <c r="L25" t="s">
        <v>39</v>
      </c>
      <c r="M25" t="s">
        <v>20</v>
      </c>
      <c r="N25" t="s">
        <v>19</v>
      </c>
    </row>
    <row r="26" spans="1:14">
      <c r="A26" t="s">
        <v>476</v>
      </c>
      <c r="B26" t="s">
        <v>477</v>
      </c>
      <c r="C26" t="s">
        <v>30</v>
      </c>
      <c r="D26" t="s">
        <v>96</v>
      </c>
      <c r="E26" s="2">
        <v>11146</v>
      </c>
      <c r="F26" s="3"/>
      <c r="G26" s="3"/>
      <c r="H26" s="3"/>
      <c r="I26" s="2">
        <v>8</v>
      </c>
      <c r="J26">
        <v>27.523954781984568</v>
      </c>
      <c r="K26">
        <v>22.182486990848734</v>
      </c>
      <c r="L26" t="s">
        <v>39</v>
      </c>
      <c r="M26" t="s">
        <v>20</v>
      </c>
      <c r="N26" t="s">
        <v>19</v>
      </c>
    </row>
    <row r="27" spans="1:14">
      <c r="A27" t="s">
        <v>478</v>
      </c>
      <c r="B27" t="s">
        <v>479</v>
      </c>
      <c r="C27" t="s">
        <v>30</v>
      </c>
      <c r="D27" t="s">
        <v>96</v>
      </c>
      <c r="E27" s="2">
        <v>11712.900000000001</v>
      </c>
      <c r="F27" s="3"/>
      <c r="G27" s="3"/>
      <c r="H27" s="3"/>
      <c r="I27" s="2">
        <v>8</v>
      </c>
      <c r="J27">
        <v>42.462127227245169</v>
      </c>
      <c r="K27">
        <v>43.351689163230276</v>
      </c>
      <c r="L27" t="s">
        <v>39</v>
      </c>
      <c r="M27" t="s">
        <v>20</v>
      </c>
      <c r="N27" t="s">
        <v>19</v>
      </c>
    </row>
    <row r="28" spans="1:14">
      <c r="A28" t="s">
        <v>495</v>
      </c>
      <c r="B28" t="s">
        <v>496</v>
      </c>
      <c r="C28" t="s">
        <v>30</v>
      </c>
      <c r="D28" t="s">
        <v>96</v>
      </c>
      <c r="E28" s="2">
        <v>39100</v>
      </c>
      <c r="F28" s="3"/>
      <c r="G28" s="3"/>
      <c r="H28" s="3"/>
      <c r="I28" s="2">
        <v>7</v>
      </c>
      <c r="J28">
        <v>60.768542199488493</v>
      </c>
      <c r="K28">
        <v>61.276214833759589</v>
      </c>
      <c r="L28" t="s">
        <v>18</v>
      </c>
      <c r="M28" t="s">
        <v>19</v>
      </c>
      <c r="N28" t="s">
        <v>20</v>
      </c>
    </row>
    <row r="29" spans="1:14">
      <c r="A29" t="s">
        <v>94</v>
      </c>
      <c r="B29" t="s">
        <v>503</v>
      </c>
      <c r="C29" t="s">
        <v>30</v>
      </c>
      <c r="D29" t="s">
        <v>96</v>
      </c>
      <c r="E29" s="2">
        <v>3927.3300000000004</v>
      </c>
      <c r="F29" s="3"/>
      <c r="G29" s="3"/>
      <c r="H29" s="3"/>
      <c r="I29" s="2">
        <v>7</v>
      </c>
      <c r="J29">
        <v>22.392892881423254</v>
      </c>
      <c r="K29">
        <v>13.999999999999998</v>
      </c>
      <c r="L29" t="s">
        <v>39</v>
      </c>
      <c r="M29" t="s">
        <v>19</v>
      </c>
      <c r="N29" t="s">
        <v>20</v>
      </c>
    </row>
    <row r="30" spans="1:14">
      <c r="A30" t="s">
        <v>504</v>
      </c>
      <c r="B30" t="s">
        <v>505</v>
      </c>
      <c r="C30" t="s">
        <v>30</v>
      </c>
      <c r="D30" t="s">
        <v>96</v>
      </c>
      <c r="E30" s="2">
        <v>7000</v>
      </c>
      <c r="F30" s="3"/>
      <c r="G30" s="3"/>
      <c r="H30" s="3"/>
      <c r="I30" s="2">
        <v>7</v>
      </c>
      <c r="J30">
        <v>60.46</v>
      </c>
      <c r="K30">
        <v>60</v>
      </c>
      <c r="L30" t="s">
        <v>18</v>
      </c>
      <c r="M30" t="s">
        <v>19</v>
      </c>
      <c r="N30" t="s">
        <v>20</v>
      </c>
    </row>
    <row r="31" spans="1:14">
      <c r="A31" t="s">
        <v>508</v>
      </c>
      <c r="B31" t="s">
        <v>509</v>
      </c>
      <c r="C31" t="s">
        <v>30</v>
      </c>
      <c r="D31" t="s">
        <v>96</v>
      </c>
      <c r="E31" s="2">
        <v>21295</v>
      </c>
      <c r="F31" s="3"/>
      <c r="G31" s="3"/>
      <c r="H31" s="3"/>
      <c r="I31" s="2">
        <v>7</v>
      </c>
      <c r="J31">
        <v>32.705095092744777</v>
      </c>
      <c r="K31">
        <v>30</v>
      </c>
      <c r="L31" t="s">
        <v>34</v>
      </c>
      <c r="M31" t="s">
        <v>20</v>
      </c>
      <c r="N31" t="s">
        <v>20</v>
      </c>
    </row>
    <row r="32" spans="1:14">
      <c r="A32" t="s">
        <v>528</v>
      </c>
      <c r="B32" t="s">
        <v>529</v>
      </c>
      <c r="C32" t="s">
        <v>30</v>
      </c>
      <c r="D32" t="s">
        <v>96</v>
      </c>
      <c r="E32" s="2">
        <v>4947.42</v>
      </c>
      <c r="F32" s="3"/>
      <c r="G32" s="3"/>
      <c r="H32" s="3"/>
      <c r="I32" s="2">
        <v>6</v>
      </c>
      <c r="J32">
        <v>151.60276073619633</v>
      </c>
      <c r="K32">
        <v>60</v>
      </c>
      <c r="L32" t="s">
        <v>18</v>
      </c>
      <c r="M32" t="s">
        <v>19</v>
      </c>
      <c r="N32" t="s">
        <v>20</v>
      </c>
    </row>
    <row r="33" spans="1:14">
      <c r="A33" t="s">
        <v>534</v>
      </c>
      <c r="B33" t="s">
        <v>535</v>
      </c>
      <c r="C33" t="s">
        <v>30</v>
      </c>
      <c r="D33" t="s">
        <v>96</v>
      </c>
      <c r="E33" s="2">
        <v>31615.029999999995</v>
      </c>
      <c r="F33" s="3"/>
      <c r="G33" s="3"/>
      <c r="H33" s="3"/>
      <c r="I33" s="2">
        <v>6</v>
      </c>
      <c r="J33">
        <v>63.156131434953572</v>
      </c>
      <c r="K33">
        <v>60.734211860624541</v>
      </c>
      <c r="L33" t="s">
        <v>18</v>
      </c>
      <c r="M33" t="s">
        <v>20</v>
      </c>
      <c r="N33" t="s">
        <v>20</v>
      </c>
    </row>
    <row r="34" spans="1:14">
      <c r="A34" t="s">
        <v>544</v>
      </c>
      <c r="B34" t="s">
        <v>545</v>
      </c>
      <c r="C34" t="s">
        <v>30</v>
      </c>
      <c r="D34" t="s">
        <v>96</v>
      </c>
      <c r="E34" s="2">
        <v>17679.649999999998</v>
      </c>
      <c r="F34" s="3"/>
      <c r="G34" s="3"/>
      <c r="H34" s="3"/>
      <c r="I34" s="2">
        <v>6</v>
      </c>
      <c r="J34">
        <v>61.628379521087794</v>
      </c>
      <c r="K34">
        <v>60.000000000000021</v>
      </c>
      <c r="L34" t="s">
        <v>18</v>
      </c>
      <c r="M34" t="s">
        <v>19</v>
      </c>
      <c r="N34" t="s">
        <v>20</v>
      </c>
    </row>
    <row r="35" spans="1:14">
      <c r="A35" t="s">
        <v>566</v>
      </c>
      <c r="B35" t="s">
        <v>567</v>
      </c>
      <c r="C35" t="s">
        <v>30</v>
      </c>
      <c r="D35" t="s">
        <v>96</v>
      </c>
      <c r="E35" s="2">
        <v>4980</v>
      </c>
      <c r="F35" s="3"/>
      <c r="G35" s="3"/>
      <c r="H35" s="3"/>
      <c r="I35" s="2">
        <v>5</v>
      </c>
      <c r="J35">
        <v>34.620481927710841</v>
      </c>
      <c r="K35">
        <v>36.174698795180724</v>
      </c>
      <c r="L35" t="s">
        <v>18</v>
      </c>
      <c r="M35" t="s">
        <v>19</v>
      </c>
      <c r="N35" t="s">
        <v>20</v>
      </c>
    </row>
    <row r="36" spans="1:14">
      <c r="A36" t="s">
        <v>572</v>
      </c>
      <c r="B36" t="s">
        <v>573</v>
      </c>
      <c r="C36" t="s">
        <v>30</v>
      </c>
      <c r="D36" t="s">
        <v>96</v>
      </c>
      <c r="E36" s="2">
        <v>45434.45</v>
      </c>
      <c r="F36" s="3"/>
      <c r="G36" s="3"/>
      <c r="H36" s="3"/>
      <c r="I36" s="2">
        <v>5</v>
      </c>
      <c r="J36">
        <v>56.61027810394976</v>
      </c>
      <c r="K36">
        <v>56.877997862855167</v>
      </c>
      <c r="L36" t="s">
        <v>39</v>
      </c>
      <c r="M36" t="s">
        <v>19</v>
      </c>
      <c r="N36" t="s">
        <v>19</v>
      </c>
    </row>
    <row r="37" spans="1:14">
      <c r="A37" t="s">
        <v>576</v>
      </c>
      <c r="B37" t="s">
        <v>577</v>
      </c>
      <c r="C37" t="s">
        <v>30</v>
      </c>
      <c r="D37" t="s">
        <v>96</v>
      </c>
      <c r="E37" s="2">
        <v>10447.799999999999</v>
      </c>
      <c r="F37" s="3"/>
      <c r="G37" s="3">
        <v>0.8</v>
      </c>
      <c r="H37" s="3">
        <v>0.78942935354811539</v>
      </c>
      <c r="I37" s="2">
        <v>5</v>
      </c>
      <c r="J37">
        <v>50.351021267635296</v>
      </c>
      <c r="K37">
        <v>51.135502210991788</v>
      </c>
      <c r="L37" t="s">
        <v>39</v>
      </c>
      <c r="M37" t="s">
        <v>19</v>
      </c>
      <c r="N37" t="s">
        <v>20</v>
      </c>
    </row>
    <row r="38" spans="1:14">
      <c r="A38" t="s">
        <v>590</v>
      </c>
      <c r="B38" t="s">
        <v>591</v>
      </c>
      <c r="C38" t="s">
        <v>30</v>
      </c>
      <c r="D38" t="s">
        <v>96</v>
      </c>
      <c r="E38" s="2">
        <v>3050</v>
      </c>
      <c r="F38" s="3"/>
      <c r="G38" s="3"/>
      <c r="H38" s="3"/>
      <c r="I38" s="2">
        <v>5</v>
      </c>
      <c r="J38">
        <v>26.88095238095238</v>
      </c>
      <c r="K38">
        <v>17.61904761904762</v>
      </c>
      <c r="L38" t="s">
        <v>24</v>
      </c>
      <c r="M38" t="s">
        <v>20</v>
      </c>
      <c r="N38" t="s">
        <v>20</v>
      </c>
    </row>
    <row r="39" spans="1:14">
      <c r="A39" t="s">
        <v>601</v>
      </c>
      <c r="B39" t="s">
        <v>602</v>
      </c>
      <c r="C39" t="s">
        <v>30</v>
      </c>
      <c r="D39" t="s">
        <v>96</v>
      </c>
      <c r="E39" s="2">
        <v>10000</v>
      </c>
      <c r="F39" s="3"/>
      <c r="G39" s="3"/>
      <c r="H39" s="3"/>
      <c r="I39" s="2">
        <v>4</v>
      </c>
      <c r="J39">
        <v>39.9</v>
      </c>
      <c r="K39">
        <v>14</v>
      </c>
      <c r="L39" t="s">
        <v>34</v>
      </c>
      <c r="M39" t="s">
        <v>19</v>
      </c>
      <c r="N39" t="s">
        <v>20</v>
      </c>
    </row>
    <row r="40" spans="1:14">
      <c r="A40" t="s">
        <v>607</v>
      </c>
      <c r="B40" t="s">
        <v>608</v>
      </c>
      <c r="C40" t="s">
        <v>30</v>
      </c>
      <c r="D40" t="s">
        <v>96</v>
      </c>
      <c r="E40" s="2">
        <v>22243.72</v>
      </c>
      <c r="F40" s="3"/>
      <c r="G40" s="3"/>
      <c r="H40" s="3"/>
      <c r="I40" s="2">
        <v>4</v>
      </c>
      <c r="J40">
        <v>19.073374867153515</v>
      </c>
      <c r="K40">
        <v>13.999999999999998</v>
      </c>
      <c r="L40" t="s">
        <v>18</v>
      </c>
      <c r="M40" t="s">
        <v>19</v>
      </c>
      <c r="N40" t="s">
        <v>20</v>
      </c>
    </row>
    <row r="41" spans="1:14">
      <c r="A41" t="s">
        <v>617</v>
      </c>
      <c r="B41" t="s">
        <v>618</v>
      </c>
      <c r="C41" t="s">
        <v>30</v>
      </c>
      <c r="D41" t="s">
        <v>96</v>
      </c>
      <c r="E41" s="2">
        <v>120751.04000000001</v>
      </c>
      <c r="F41" s="3"/>
      <c r="G41" s="3"/>
      <c r="H41" s="3"/>
      <c r="I41" s="2">
        <v>4</v>
      </c>
      <c r="J41">
        <v>60.327226001531734</v>
      </c>
      <c r="K41">
        <v>60</v>
      </c>
      <c r="L41" t="s">
        <v>18</v>
      </c>
      <c r="M41" t="s">
        <v>19</v>
      </c>
      <c r="N41" t="s">
        <v>20</v>
      </c>
    </row>
    <row r="42" spans="1:14">
      <c r="A42" t="s">
        <v>625</v>
      </c>
      <c r="B42" t="s">
        <v>626</v>
      </c>
      <c r="C42" t="s">
        <v>30</v>
      </c>
      <c r="D42" t="s">
        <v>96</v>
      </c>
      <c r="E42" s="2">
        <v>12199.2</v>
      </c>
      <c r="F42" s="3"/>
      <c r="G42" s="3"/>
      <c r="H42" s="3"/>
      <c r="I42" s="2">
        <v>4</v>
      </c>
      <c r="J42">
        <v>92.589022230965966</v>
      </c>
      <c r="K42">
        <v>80.971604695389857</v>
      </c>
      <c r="L42" t="s">
        <v>24</v>
      </c>
      <c r="M42" t="s">
        <v>20</v>
      </c>
      <c r="N42" t="s">
        <v>19</v>
      </c>
    </row>
    <row r="43" spans="1:14">
      <c r="A43" t="s">
        <v>627</v>
      </c>
      <c r="B43" t="s">
        <v>628</v>
      </c>
      <c r="C43" t="s">
        <v>30</v>
      </c>
      <c r="D43" t="s">
        <v>96</v>
      </c>
      <c r="E43" s="2">
        <v>450</v>
      </c>
      <c r="F43" s="3"/>
      <c r="G43" s="3"/>
      <c r="H43" s="3"/>
      <c r="I43" s="2">
        <v>4</v>
      </c>
      <c r="J43">
        <v>16.111111111111111</v>
      </c>
      <c r="K43">
        <v>14.666666666666666</v>
      </c>
      <c r="L43" t="s">
        <v>18</v>
      </c>
      <c r="M43" t="s">
        <v>19</v>
      </c>
      <c r="N43" t="s">
        <v>19</v>
      </c>
    </row>
    <row r="44" spans="1:14">
      <c r="A44" t="s">
        <v>637</v>
      </c>
      <c r="B44" t="s">
        <v>638</v>
      </c>
      <c r="C44" t="s">
        <v>30</v>
      </c>
      <c r="D44" t="s">
        <v>96</v>
      </c>
      <c r="E44" s="2">
        <v>6952</v>
      </c>
      <c r="F44" s="3"/>
      <c r="G44" s="3"/>
      <c r="H44" s="3"/>
      <c r="I44" s="2">
        <v>4</v>
      </c>
      <c r="J44">
        <v>19.459867663981587</v>
      </c>
      <c r="K44">
        <v>14</v>
      </c>
      <c r="L44" t="s">
        <v>18</v>
      </c>
      <c r="M44" t="s">
        <v>19</v>
      </c>
      <c r="N44" t="s">
        <v>20</v>
      </c>
    </row>
    <row r="45" spans="1:14">
      <c r="A45" t="s">
        <v>647</v>
      </c>
      <c r="B45" t="s">
        <v>648</v>
      </c>
      <c r="C45" t="s">
        <v>30</v>
      </c>
      <c r="D45" t="s">
        <v>96</v>
      </c>
      <c r="E45" s="2">
        <v>978.04</v>
      </c>
      <c r="F45" s="3"/>
      <c r="G45" s="3"/>
      <c r="H45" s="3"/>
      <c r="I45" s="2">
        <v>4</v>
      </c>
      <c r="J45">
        <v>41.986544517606646</v>
      </c>
      <c r="K45">
        <v>14.000000000000002</v>
      </c>
      <c r="L45" t="s">
        <v>649</v>
      </c>
      <c r="M45" t="s">
        <v>20</v>
      </c>
      <c r="N45" t="s">
        <v>20</v>
      </c>
    </row>
    <row r="46" spans="1:14">
      <c r="A46" t="s">
        <v>650</v>
      </c>
      <c r="B46" t="s">
        <v>651</v>
      </c>
      <c r="C46" t="s">
        <v>30</v>
      </c>
      <c r="D46" t="s">
        <v>96</v>
      </c>
      <c r="E46" s="2">
        <v>850</v>
      </c>
      <c r="F46" s="3"/>
      <c r="G46" s="3"/>
      <c r="H46" s="3"/>
      <c r="I46" s="2">
        <v>4</v>
      </c>
      <c r="J46">
        <v>18.411764705882351</v>
      </c>
      <c r="K46">
        <v>14</v>
      </c>
      <c r="L46" t="s">
        <v>18</v>
      </c>
      <c r="M46" t="s">
        <v>19</v>
      </c>
      <c r="N46" t="s">
        <v>20</v>
      </c>
    </row>
    <row r="47" spans="1:14">
      <c r="A47" t="s">
        <v>658</v>
      </c>
      <c r="B47" t="s">
        <v>659</v>
      </c>
      <c r="C47" t="s">
        <v>30</v>
      </c>
      <c r="D47" t="s">
        <v>96</v>
      </c>
      <c r="E47" s="2">
        <v>135525.68</v>
      </c>
      <c r="F47" s="3"/>
      <c r="G47" s="3"/>
      <c r="H47" s="3"/>
      <c r="I47" s="2">
        <v>3</v>
      </c>
      <c r="J47">
        <v>45.122316597120196</v>
      </c>
      <c r="K47">
        <v>44.800965248800082</v>
      </c>
      <c r="L47" t="s">
        <v>39</v>
      </c>
      <c r="M47" t="s">
        <v>20</v>
      </c>
      <c r="N47" t="s">
        <v>19</v>
      </c>
    </row>
    <row r="48" spans="1:14">
      <c r="A48" t="s">
        <v>730</v>
      </c>
      <c r="B48" t="s">
        <v>731</v>
      </c>
      <c r="C48" t="s">
        <v>30</v>
      </c>
      <c r="D48" t="s">
        <v>96</v>
      </c>
      <c r="E48" s="2">
        <v>525</v>
      </c>
      <c r="F48" s="3"/>
      <c r="G48" s="3"/>
      <c r="H48" s="3"/>
      <c r="I48" s="2">
        <v>3</v>
      </c>
      <c r="J48">
        <v>21.6</v>
      </c>
      <c r="K48">
        <v>14.8</v>
      </c>
      <c r="L48" t="s">
        <v>39</v>
      </c>
      <c r="M48" t="s">
        <v>20</v>
      </c>
      <c r="N48" t="s">
        <v>19</v>
      </c>
    </row>
    <row r="49" spans="1:14">
      <c r="A49" t="s">
        <v>742</v>
      </c>
      <c r="B49" t="s">
        <v>743</v>
      </c>
      <c r="C49" t="s">
        <v>30</v>
      </c>
      <c r="D49" t="s">
        <v>96</v>
      </c>
      <c r="E49" s="2">
        <v>300</v>
      </c>
      <c r="F49" s="3"/>
      <c r="G49" s="3"/>
      <c r="H49" s="3"/>
      <c r="I49" s="2">
        <v>3</v>
      </c>
      <c r="J49">
        <v>21.5</v>
      </c>
      <c r="K49">
        <v>10</v>
      </c>
      <c r="L49" t="s">
        <v>18</v>
      </c>
      <c r="M49" t="s">
        <v>19</v>
      </c>
      <c r="N49" t="s">
        <v>20</v>
      </c>
    </row>
    <row r="50" spans="1:14">
      <c r="A50" t="s">
        <v>746</v>
      </c>
      <c r="B50" t="s">
        <v>747</v>
      </c>
      <c r="C50" t="s">
        <v>30</v>
      </c>
      <c r="D50" t="s">
        <v>96</v>
      </c>
      <c r="E50" s="2">
        <v>174322.44</v>
      </c>
      <c r="F50" s="3"/>
      <c r="G50" s="3"/>
      <c r="H50" s="3"/>
      <c r="I50" s="2">
        <v>3</v>
      </c>
      <c r="J50">
        <v>58.672786991737844</v>
      </c>
      <c r="K50">
        <v>45</v>
      </c>
      <c r="L50" t="s">
        <v>39</v>
      </c>
      <c r="M50" t="s">
        <v>20</v>
      </c>
      <c r="N50" t="s">
        <v>20</v>
      </c>
    </row>
    <row r="51" spans="1:14">
      <c r="A51" t="s">
        <v>764</v>
      </c>
      <c r="B51" t="s">
        <v>765</v>
      </c>
      <c r="C51" t="s">
        <v>30</v>
      </c>
      <c r="D51" t="s">
        <v>96</v>
      </c>
      <c r="E51" s="2">
        <v>4820</v>
      </c>
      <c r="F51" s="3"/>
      <c r="G51" s="3"/>
      <c r="H51" s="3"/>
      <c r="I51" s="2">
        <v>2</v>
      </c>
      <c r="J51">
        <v>117.2240663900415</v>
      </c>
      <c r="K51">
        <v>14</v>
      </c>
      <c r="L51" t="s">
        <v>34</v>
      </c>
      <c r="M51" t="s">
        <v>19</v>
      </c>
      <c r="N51" t="s">
        <v>19</v>
      </c>
    </row>
    <row r="52" spans="1:14">
      <c r="A52" t="s">
        <v>780</v>
      </c>
      <c r="B52" t="s">
        <v>781</v>
      </c>
      <c r="C52" t="s">
        <v>30</v>
      </c>
      <c r="D52" t="s">
        <v>96</v>
      </c>
      <c r="E52" s="2">
        <v>258.06</v>
      </c>
      <c r="F52" s="3"/>
      <c r="G52" s="3"/>
      <c r="H52" s="3"/>
      <c r="I52" s="2">
        <v>2</v>
      </c>
      <c r="J52">
        <v>98.5</v>
      </c>
      <c r="K52">
        <v>37.000000000000007</v>
      </c>
      <c r="L52" t="s">
        <v>18</v>
      </c>
      <c r="M52" t="s">
        <v>19</v>
      </c>
      <c r="N52" t="s">
        <v>20</v>
      </c>
    </row>
    <row r="53" spans="1:14">
      <c r="A53" t="s">
        <v>782</v>
      </c>
      <c r="B53" t="s">
        <v>783</v>
      </c>
      <c r="C53" t="s">
        <v>30</v>
      </c>
      <c r="D53" t="s">
        <v>96</v>
      </c>
      <c r="E53" s="2">
        <v>18440.559999999998</v>
      </c>
      <c r="F53" s="3"/>
      <c r="G53" s="3"/>
      <c r="H53" s="3"/>
      <c r="I53" s="2">
        <v>2</v>
      </c>
      <c r="J53">
        <v>52.281440476861881</v>
      </c>
      <c r="K53">
        <v>30.000000000000007</v>
      </c>
      <c r="L53" t="s">
        <v>34</v>
      </c>
      <c r="M53" t="s">
        <v>19</v>
      </c>
      <c r="N53" t="s">
        <v>20</v>
      </c>
    </row>
    <row r="54" spans="1:14">
      <c r="A54" t="s">
        <v>784</v>
      </c>
      <c r="B54" t="s">
        <v>785</v>
      </c>
      <c r="C54" t="s">
        <v>30</v>
      </c>
      <c r="D54" t="s">
        <v>96</v>
      </c>
      <c r="E54" s="2">
        <v>2840</v>
      </c>
      <c r="F54" s="3"/>
      <c r="G54" s="3"/>
      <c r="H54" s="3"/>
      <c r="I54" s="2">
        <v>2</v>
      </c>
      <c r="J54">
        <v>61.04577464788732</v>
      </c>
      <c r="K54">
        <v>60</v>
      </c>
      <c r="L54" t="s">
        <v>18</v>
      </c>
      <c r="M54" t="s">
        <v>19</v>
      </c>
      <c r="N54" t="s">
        <v>20</v>
      </c>
    </row>
    <row r="55" spans="1:14">
      <c r="A55" t="s">
        <v>798</v>
      </c>
      <c r="B55" t="s">
        <v>799</v>
      </c>
      <c r="C55" t="s">
        <v>30</v>
      </c>
      <c r="D55" t="s">
        <v>96</v>
      </c>
      <c r="E55" s="2">
        <v>4050</v>
      </c>
      <c r="F55" s="3"/>
      <c r="G55" s="3"/>
      <c r="H55" s="3"/>
      <c r="I55" s="2">
        <v>2</v>
      </c>
      <c r="J55">
        <v>33.533333333333331</v>
      </c>
      <c r="K55">
        <v>36.488888888888887</v>
      </c>
      <c r="L55" t="s">
        <v>18</v>
      </c>
      <c r="M55" t="s">
        <v>19</v>
      </c>
      <c r="N55" t="s">
        <v>20</v>
      </c>
    </row>
    <row r="56" spans="1:14">
      <c r="A56" t="s">
        <v>800</v>
      </c>
      <c r="B56" t="s">
        <v>801</v>
      </c>
      <c r="C56" t="s">
        <v>30</v>
      </c>
      <c r="D56" t="s">
        <v>96</v>
      </c>
      <c r="E56" s="2">
        <v>1500</v>
      </c>
      <c r="F56" s="3"/>
      <c r="G56" s="3"/>
      <c r="H56" s="3"/>
      <c r="I56" s="2">
        <v>2</v>
      </c>
      <c r="J56">
        <v>58</v>
      </c>
      <c r="K56">
        <v>59</v>
      </c>
      <c r="L56" t="s">
        <v>18</v>
      </c>
      <c r="M56" t="s">
        <v>19</v>
      </c>
      <c r="N56" t="s">
        <v>20</v>
      </c>
    </row>
    <row r="57" spans="1:14">
      <c r="A57" t="s">
        <v>802</v>
      </c>
      <c r="B57" t="s">
        <v>803</v>
      </c>
      <c r="C57" t="s">
        <v>30</v>
      </c>
      <c r="D57" t="s">
        <v>96</v>
      </c>
      <c r="E57" s="2">
        <v>17239.89</v>
      </c>
      <c r="F57" s="3"/>
      <c r="G57" s="3"/>
      <c r="H57" s="3"/>
      <c r="I57" s="2">
        <v>2</v>
      </c>
      <c r="J57">
        <v>59.475102799379819</v>
      </c>
      <c r="K57">
        <v>60.000000000000007</v>
      </c>
      <c r="L57" t="s">
        <v>18</v>
      </c>
      <c r="M57" t="s">
        <v>19</v>
      </c>
      <c r="N57" t="s">
        <v>20</v>
      </c>
    </row>
    <row r="58" spans="1:14">
      <c r="A58" t="s">
        <v>810</v>
      </c>
      <c r="B58" t="s">
        <v>811</v>
      </c>
      <c r="C58" t="s">
        <v>30</v>
      </c>
      <c r="D58" t="s">
        <v>96</v>
      </c>
      <c r="E58" s="2">
        <v>252.26</v>
      </c>
      <c r="F58" s="3"/>
      <c r="G58" s="3"/>
      <c r="H58" s="3"/>
      <c r="I58" s="2">
        <v>2</v>
      </c>
      <c r="J58">
        <v>43.622849441052878</v>
      </c>
      <c r="K58">
        <v>10</v>
      </c>
      <c r="L58" t="s">
        <v>24</v>
      </c>
      <c r="M58" t="s">
        <v>19</v>
      </c>
      <c r="N58" t="s">
        <v>20</v>
      </c>
    </row>
    <row r="59" spans="1:14">
      <c r="A59" t="s">
        <v>822</v>
      </c>
      <c r="B59" t="s">
        <v>823</v>
      </c>
      <c r="C59" t="s">
        <v>30</v>
      </c>
      <c r="D59" t="s">
        <v>96</v>
      </c>
      <c r="E59" s="2">
        <v>258.06</v>
      </c>
      <c r="F59" s="3"/>
      <c r="G59" s="3"/>
      <c r="H59" s="3"/>
      <c r="I59" s="2">
        <v>2</v>
      </c>
      <c r="J59">
        <v>46.67550182128187</v>
      </c>
      <c r="K59">
        <v>31.825311942959001</v>
      </c>
      <c r="L59" t="s">
        <v>18</v>
      </c>
      <c r="M59" t="s">
        <v>20</v>
      </c>
      <c r="N59" t="s">
        <v>19</v>
      </c>
    </row>
    <row r="60" spans="1:14">
      <c r="A60" t="s">
        <v>824</v>
      </c>
      <c r="B60" t="s">
        <v>825</v>
      </c>
      <c r="C60" t="s">
        <v>30</v>
      </c>
      <c r="D60" t="s">
        <v>96</v>
      </c>
      <c r="E60" s="2">
        <v>165</v>
      </c>
      <c r="F60" s="3"/>
      <c r="G60" s="3"/>
      <c r="H60" s="3"/>
      <c r="I60" s="2">
        <v>2</v>
      </c>
      <c r="J60">
        <v>11.575757575757576</v>
      </c>
      <c r="K60">
        <v>10</v>
      </c>
      <c r="L60" t="s">
        <v>34</v>
      </c>
      <c r="M60" t="s">
        <v>20</v>
      </c>
      <c r="N60" t="s">
        <v>19</v>
      </c>
    </row>
    <row r="61" spans="1:14">
      <c r="A61" t="s">
        <v>834</v>
      </c>
      <c r="B61" t="s">
        <v>835</v>
      </c>
      <c r="C61" t="s">
        <v>30</v>
      </c>
      <c r="D61" t="s">
        <v>96</v>
      </c>
      <c r="E61" s="2">
        <v>19407.059999999998</v>
      </c>
      <c r="F61" s="3"/>
      <c r="G61" s="3"/>
      <c r="H61" s="3"/>
      <c r="I61" s="2">
        <v>2</v>
      </c>
      <c r="J61">
        <v>59.954577354838918</v>
      </c>
      <c r="K61">
        <v>60.000000000000014</v>
      </c>
      <c r="L61" t="s">
        <v>18</v>
      </c>
      <c r="M61" t="s">
        <v>19</v>
      </c>
      <c r="N61" t="s">
        <v>20</v>
      </c>
    </row>
    <row r="62" spans="1:14">
      <c r="A62" t="s">
        <v>844</v>
      </c>
      <c r="B62" t="s">
        <v>845</v>
      </c>
      <c r="C62" t="s">
        <v>30</v>
      </c>
      <c r="D62" t="s">
        <v>96</v>
      </c>
      <c r="E62" s="2">
        <v>15840</v>
      </c>
      <c r="F62" s="3"/>
      <c r="G62" s="3"/>
      <c r="H62" s="3"/>
      <c r="I62" s="2">
        <v>2</v>
      </c>
      <c r="J62">
        <v>41.282196969696969</v>
      </c>
      <c r="K62">
        <v>37.55681818181818</v>
      </c>
      <c r="L62" t="s">
        <v>39</v>
      </c>
      <c r="M62" t="s">
        <v>19</v>
      </c>
      <c r="N62" t="s">
        <v>20</v>
      </c>
    </row>
    <row r="63" spans="1:14">
      <c r="A63" t="s">
        <v>853</v>
      </c>
      <c r="B63" t="s">
        <v>854</v>
      </c>
      <c r="C63" t="s">
        <v>30</v>
      </c>
      <c r="D63" t="s">
        <v>96</v>
      </c>
      <c r="E63" s="2">
        <v>1115</v>
      </c>
      <c r="F63" s="3"/>
      <c r="G63" s="3"/>
      <c r="H63" s="3"/>
      <c r="I63" s="2">
        <v>2</v>
      </c>
      <c r="J63">
        <v>308.01793721973092</v>
      </c>
      <c r="K63">
        <v>60</v>
      </c>
      <c r="L63" t="s">
        <v>18</v>
      </c>
      <c r="M63" t="s">
        <v>19</v>
      </c>
      <c r="N63" t="s">
        <v>20</v>
      </c>
    </row>
    <row r="64" spans="1:14">
      <c r="A64" t="s">
        <v>855</v>
      </c>
      <c r="B64" t="s">
        <v>856</v>
      </c>
      <c r="C64" t="s">
        <v>30</v>
      </c>
      <c r="D64" t="s">
        <v>96</v>
      </c>
      <c r="E64" s="2">
        <v>27279.5</v>
      </c>
      <c r="F64" s="3"/>
      <c r="G64" s="3"/>
      <c r="H64" s="3"/>
      <c r="I64" s="2">
        <v>2</v>
      </c>
      <c r="J64">
        <v>45.745559852636596</v>
      </c>
      <c r="K64">
        <v>42.745559852636596</v>
      </c>
      <c r="L64" t="s">
        <v>39</v>
      </c>
      <c r="M64" t="s">
        <v>20</v>
      </c>
      <c r="N64" t="s">
        <v>19</v>
      </c>
    </row>
    <row r="65" spans="1:14">
      <c r="A65" t="s">
        <v>863</v>
      </c>
      <c r="B65" t="s">
        <v>864</v>
      </c>
      <c r="C65" t="s">
        <v>30</v>
      </c>
      <c r="D65" t="s">
        <v>96</v>
      </c>
      <c r="E65" s="2">
        <v>7992</v>
      </c>
      <c r="F65" s="3"/>
      <c r="G65" s="3"/>
      <c r="H65" s="3"/>
      <c r="I65" s="2">
        <v>2</v>
      </c>
      <c r="J65">
        <v>40</v>
      </c>
      <c r="K65">
        <v>30</v>
      </c>
      <c r="L65" t="s">
        <v>34</v>
      </c>
      <c r="M65" t="s">
        <v>19</v>
      </c>
      <c r="N65" t="s">
        <v>20</v>
      </c>
    </row>
    <row r="66" spans="1:14">
      <c r="A66" t="s">
        <v>869</v>
      </c>
      <c r="B66" t="s">
        <v>870</v>
      </c>
      <c r="C66" t="s">
        <v>30</v>
      </c>
      <c r="D66" t="s">
        <v>96</v>
      </c>
      <c r="E66" s="2">
        <v>2500</v>
      </c>
      <c r="F66" s="3"/>
      <c r="G66" s="3"/>
      <c r="H66" s="3"/>
      <c r="I66" s="2">
        <v>2</v>
      </c>
      <c r="J66">
        <v>29</v>
      </c>
      <c r="K66">
        <v>30</v>
      </c>
      <c r="L66" t="s">
        <v>18</v>
      </c>
      <c r="M66" t="s">
        <v>19</v>
      </c>
      <c r="N66" t="s">
        <v>20</v>
      </c>
    </row>
    <row r="67" spans="1:14">
      <c r="A67" t="s">
        <v>875</v>
      </c>
      <c r="B67" t="s">
        <v>876</v>
      </c>
      <c r="C67" t="s">
        <v>30</v>
      </c>
      <c r="D67" t="s">
        <v>96</v>
      </c>
      <c r="E67" s="2">
        <v>84</v>
      </c>
      <c r="F67" s="3"/>
      <c r="G67" s="3"/>
      <c r="H67" s="3"/>
      <c r="I67" s="2">
        <v>2</v>
      </c>
      <c r="J67">
        <v>25.142857142857142</v>
      </c>
      <c r="K67">
        <v>22.214285714285715</v>
      </c>
      <c r="L67" t="s">
        <v>18</v>
      </c>
      <c r="M67" t="s">
        <v>19</v>
      </c>
      <c r="N67" t="s">
        <v>20</v>
      </c>
    </row>
    <row r="68" spans="1:14">
      <c r="A68" t="s">
        <v>886</v>
      </c>
      <c r="B68" t="s">
        <v>887</v>
      </c>
      <c r="C68" t="s">
        <v>30</v>
      </c>
      <c r="D68" t="s">
        <v>96</v>
      </c>
      <c r="E68" s="2">
        <v>3891.63</v>
      </c>
      <c r="F68" s="3"/>
      <c r="G68" s="3"/>
      <c r="H68" s="3"/>
      <c r="I68" s="2">
        <v>2</v>
      </c>
      <c r="J68">
        <v>87.196753031506091</v>
      </c>
      <c r="K68">
        <v>36.920195393703928</v>
      </c>
      <c r="L68" t="s">
        <v>39</v>
      </c>
      <c r="M68" t="s">
        <v>19</v>
      </c>
      <c r="N68" t="s">
        <v>20</v>
      </c>
    </row>
    <row r="69" spans="1:14">
      <c r="A69" t="s">
        <v>892</v>
      </c>
      <c r="B69" t="s">
        <v>893</v>
      </c>
      <c r="C69" t="s">
        <v>30</v>
      </c>
      <c r="D69" t="s">
        <v>96</v>
      </c>
      <c r="E69" s="2">
        <v>287.68</v>
      </c>
      <c r="F69" s="3"/>
      <c r="G69" s="3"/>
      <c r="H69" s="3"/>
      <c r="I69" s="2">
        <v>2</v>
      </c>
      <c r="J69">
        <v>40.21384872080089</v>
      </c>
      <c r="K69">
        <v>29.999999999999996</v>
      </c>
      <c r="L69" t="s">
        <v>24</v>
      </c>
      <c r="M69" t="s">
        <v>20</v>
      </c>
      <c r="N69" t="s">
        <v>19</v>
      </c>
    </row>
    <row r="70" spans="1:14">
      <c r="A70" t="s">
        <v>898</v>
      </c>
      <c r="B70" t="s">
        <v>899</v>
      </c>
      <c r="C70" t="s">
        <v>30</v>
      </c>
      <c r="D70" t="s">
        <v>96</v>
      </c>
      <c r="E70" s="2">
        <v>5662.45</v>
      </c>
      <c r="F70" s="3"/>
      <c r="G70" s="3"/>
      <c r="H70" s="3"/>
      <c r="I70" s="2">
        <v>2</v>
      </c>
      <c r="J70">
        <v>74.903372215207199</v>
      </c>
      <c r="K70">
        <v>60</v>
      </c>
      <c r="L70" t="s">
        <v>18</v>
      </c>
      <c r="M70" t="s">
        <v>19</v>
      </c>
      <c r="N70" t="s">
        <v>20</v>
      </c>
    </row>
    <row r="71" spans="1:14">
      <c r="A71" t="s">
        <v>902</v>
      </c>
      <c r="B71" t="s">
        <v>903</v>
      </c>
      <c r="C71" t="s">
        <v>30</v>
      </c>
      <c r="D71" t="s">
        <v>96</v>
      </c>
      <c r="E71" s="2">
        <v>2005</v>
      </c>
      <c r="F71" s="3"/>
      <c r="G71" s="3"/>
      <c r="H71" s="3"/>
      <c r="I71" s="2">
        <v>2</v>
      </c>
      <c r="J71">
        <v>12.855361596009976</v>
      </c>
      <c r="K71">
        <v>14</v>
      </c>
      <c r="L71" t="s">
        <v>39</v>
      </c>
      <c r="M71" t="s">
        <v>20</v>
      </c>
      <c r="N71" t="s">
        <v>19</v>
      </c>
    </row>
    <row r="72" spans="1:14">
      <c r="A72" t="s">
        <v>914</v>
      </c>
      <c r="B72" t="s">
        <v>915</v>
      </c>
      <c r="C72" t="s">
        <v>30</v>
      </c>
      <c r="D72" t="s">
        <v>96</v>
      </c>
      <c r="E72" s="2">
        <v>122.81</v>
      </c>
      <c r="F72" s="3"/>
      <c r="G72" s="3"/>
      <c r="H72" s="3"/>
      <c r="I72" s="2">
        <v>1</v>
      </c>
      <c r="J72">
        <v>24</v>
      </c>
      <c r="K72">
        <v>30</v>
      </c>
      <c r="L72" t="s">
        <v>34</v>
      </c>
      <c r="M72" t="s">
        <v>20</v>
      </c>
      <c r="N72" t="s">
        <v>20</v>
      </c>
    </row>
    <row r="73" spans="1:14">
      <c r="A73" t="s">
        <v>918</v>
      </c>
      <c r="B73" t="s">
        <v>919</v>
      </c>
      <c r="C73" t="s">
        <v>30</v>
      </c>
      <c r="D73" t="s">
        <v>96</v>
      </c>
      <c r="E73" s="2">
        <v>100</v>
      </c>
      <c r="F73" s="3"/>
      <c r="G73" s="3"/>
      <c r="H73" s="3"/>
      <c r="I73" s="2">
        <v>1</v>
      </c>
      <c r="J73">
        <v>540</v>
      </c>
      <c r="K73">
        <v>60</v>
      </c>
      <c r="L73" t="s">
        <v>18</v>
      </c>
      <c r="M73" t="s">
        <v>19</v>
      </c>
      <c r="N73" t="s">
        <v>20</v>
      </c>
    </row>
    <row r="74" spans="1:14">
      <c r="A74" t="s">
        <v>920</v>
      </c>
      <c r="B74" t="s">
        <v>921</v>
      </c>
      <c r="C74" t="s">
        <v>30</v>
      </c>
      <c r="D74" t="s">
        <v>96</v>
      </c>
      <c r="E74" s="2">
        <v>2000</v>
      </c>
      <c r="F74" s="3"/>
      <c r="G74" s="3"/>
      <c r="H74" s="3"/>
      <c r="I74" s="2">
        <v>1</v>
      </c>
      <c r="J74">
        <v>81</v>
      </c>
      <c r="K74">
        <v>83</v>
      </c>
      <c r="L74" t="s">
        <v>18</v>
      </c>
      <c r="M74" t="s">
        <v>20</v>
      </c>
      <c r="N74" t="s">
        <v>19</v>
      </c>
    </row>
    <row r="75" spans="1:14">
      <c r="A75" t="s">
        <v>958</v>
      </c>
      <c r="B75" t="s">
        <v>959</v>
      </c>
      <c r="C75" t="s">
        <v>30</v>
      </c>
      <c r="D75" t="s">
        <v>96</v>
      </c>
      <c r="E75" s="2">
        <v>240</v>
      </c>
      <c r="F75" s="3"/>
      <c r="G75" s="3"/>
      <c r="H75" s="3"/>
      <c r="I75" s="2">
        <v>1</v>
      </c>
      <c r="J75">
        <v>73</v>
      </c>
      <c r="K75">
        <v>60</v>
      </c>
      <c r="L75" t="s">
        <v>18</v>
      </c>
      <c r="M75" t="s">
        <v>19</v>
      </c>
      <c r="N75" t="s">
        <v>20</v>
      </c>
    </row>
    <row r="76" spans="1:14">
      <c r="A76" t="s">
        <v>970</v>
      </c>
      <c r="B76" t="s">
        <v>971</v>
      </c>
      <c r="C76" t="s">
        <v>30</v>
      </c>
      <c r="D76" t="s">
        <v>96</v>
      </c>
      <c r="E76" s="2">
        <v>2450</v>
      </c>
      <c r="F76" s="3"/>
      <c r="G76" s="3"/>
      <c r="H76" s="3"/>
      <c r="I76" s="2">
        <v>1</v>
      </c>
      <c r="J76">
        <v>54</v>
      </c>
      <c r="K76">
        <v>30</v>
      </c>
      <c r="L76" t="s">
        <v>34</v>
      </c>
      <c r="M76" t="s">
        <v>19</v>
      </c>
      <c r="N76" t="s">
        <v>20</v>
      </c>
    </row>
    <row r="77" spans="1:14">
      <c r="A77" t="s">
        <v>976</v>
      </c>
      <c r="B77" t="s">
        <v>977</v>
      </c>
      <c r="C77" t="s">
        <v>30</v>
      </c>
      <c r="D77" t="s">
        <v>96</v>
      </c>
      <c r="E77" s="2">
        <v>6900</v>
      </c>
      <c r="F77" s="3"/>
      <c r="G77" s="3"/>
      <c r="H77" s="3"/>
      <c r="I77" s="2">
        <v>1</v>
      </c>
      <c r="J77">
        <v>44</v>
      </c>
      <c r="K77">
        <v>45</v>
      </c>
      <c r="L77" t="s">
        <v>24</v>
      </c>
      <c r="M77" t="s">
        <v>20</v>
      </c>
      <c r="N77" t="s">
        <v>20</v>
      </c>
    </row>
    <row r="78" spans="1:14">
      <c r="A78" t="s">
        <v>996</v>
      </c>
      <c r="B78" t="s">
        <v>997</v>
      </c>
      <c r="C78" t="s">
        <v>30</v>
      </c>
      <c r="D78" t="s">
        <v>96</v>
      </c>
      <c r="E78" s="2">
        <v>1544.5</v>
      </c>
      <c r="F78" s="3"/>
      <c r="G78" s="3"/>
      <c r="H78" s="3"/>
      <c r="I78" s="2">
        <v>1</v>
      </c>
      <c r="J78">
        <v>147</v>
      </c>
      <c r="K78">
        <v>14</v>
      </c>
      <c r="L78" t="s">
        <v>24</v>
      </c>
      <c r="M78" t="s">
        <v>20</v>
      </c>
      <c r="N78" t="s">
        <v>19</v>
      </c>
    </row>
    <row r="79" spans="1:14">
      <c r="A79" t="s">
        <v>1005</v>
      </c>
      <c r="B79" t="s">
        <v>1006</v>
      </c>
      <c r="C79" t="s">
        <v>30</v>
      </c>
      <c r="D79" t="s">
        <v>96</v>
      </c>
      <c r="E79" s="2">
        <v>217.55</v>
      </c>
      <c r="F79" s="3"/>
      <c r="G79" s="3"/>
      <c r="H79" s="3"/>
      <c r="I79" s="2">
        <v>1</v>
      </c>
      <c r="J79">
        <v>28</v>
      </c>
      <c r="K79">
        <v>14</v>
      </c>
      <c r="L79" t="s">
        <v>34</v>
      </c>
      <c r="M79" t="s">
        <v>20</v>
      </c>
      <c r="N79" t="s">
        <v>19</v>
      </c>
    </row>
    <row r="80" spans="1:14">
      <c r="A80" t="s">
        <v>1007</v>
      </c>
      <c r="B80" t="s">
        <v>1008</v>
      </c>
      <c r="C80" t="s">
        <v>30</v>
      </c>
      <c r="D80" t="s">
        <v>96</v>
      </c>
      <c r="E80" s="2">
        <v>2082</v>
      </c>
      <c r="F80" s="3"/>
      <c r="G80" s="3"/>
      <c r="H80" s="3"/>
      <c r="I80" s="2">
        <v>1</v>
      </c>
      <c r="J80">
        <v>13</v>
      </c>
      <c r="K80">
        <v>14</v>
      </c>
      <c r="L80" t="s">
        <v>39</v>
      </c>
      <c r="M80" t="s">
        <v>20</v>
      </c>
      <c r="N80" t="s">
        <v>20</v>
      </c>
    </row>
    <row r="81" spans="1:14">
      <c r="A81" t="s">
        <v>1019</v>
      </c>
      <c r="B81" t="s">
        <v>1020</v>
      </c>
      <c r="C81" t="s">
        <v>30</v>
      </c>
      <c r="D81" t="s">
        <v>96</v>
      </c>
      <c r="E81" s="2">
        <v>2967.48</v>
      </c>
      <c r="F81" s="3"/>
      <c r="G81" s="3"/>
      <c r="H81" s="3"/>
      <c r="I81" s="2">
        <v>1</v>
      </c>
      <c r="J81">
        <v>54.000000000000007</v>
      </c>
      <c r="K81">
        <v>14</v>
      </c>
      <c r="L81" t="s">
        <v>18</v>
      </c>
      <c r="M81" t="s">
        <v>20</v>
      </c>
      <c r="N81" t="s">
        <v>20</v>
      </c>
    </row>
    <row r="82" spans="1:14">
      <c r="A82" t="s">
        <v>1027</v>
      </c>
      <c r="B82" t="s">
        <v>1028</v>
      </c>
      <c r="C82" t="s">
        <v>30</v>
      </c>
      <c r="D82" t="s">
        <v>96</v>
      </c>
      <c r="E82" s="2">
        <v>150</v>
      </c>
      <c r="F82" s="3"/>
      <c r="G82" s="3"/>
      <c r="H82" s="3"/>
      <c r="I82" s="2">
        <v>1</v>
      </c>
      <c r="J82">
        <v>96</v>
      </c>
      <c r="K82">
        <v>14</v>
      </c>
      <c r="L82" t="s">
        <v>18</v>
      </c>
      <c r="M82" t="s">
        <v>19</v>
      </c>
      <c r="N82" t="s">
        <v>20</v>
      </c>
    </row>
    <row r="83" spans="1:14">
      <c r="A83" t="s">
        <v>1029</v>
      </c>
      <c r="B83" t="s">
        <v>1030</v>
      </c>
      <c r="C83" t="s">
        <v>30</v>
      </c>
      <c r="D83" t="s">
        <v>96</v>
      </c>
      <c r="E83" s="2">
        <v>100.9</v>
      </c>
      <c r="F83" s="3"/>
      <c r="G83" s="3"/>
      <c r="H83" s="3"/>
      <c r="I83" s="2">
        <v>1</v>
      </c>
      <c r="J83">
        <v>20</v>
      </c>
      <c r="K83">
        <v>10</v>
      </c>
      <c r="L83" t="s">
        <v>18</v>
      </c>
      <c r="M83" t="s">
        <v>19</v>
      </c>
      <c r="N83" t="s">
        <v>20</v>
      </c>
    </row>
    <row r="84" spans="1:14">
      <c r="A84" t="s">
        <v>822</v>
      </c>
      <c r="B84" t="s">
        <v>1037</v>
      </c>
      <c r="C84" t="s">
        <v>30</v>
      </c>
      <c r="D84" t="s">
        <v>96</v>
      </c>
      <c r="E84" s="2">
        <v>2800</v>
      </c>
      <c r="F84" s="3"/>
      <c r="G84" s="3"/>
      <c r="H84" s="3"/>
      <c r="I84" s="2">
        <v>1</v>
      </c>
      <c r="J84">
        <v>66</v>
      </c>
      <c r="K84">
        <v>30</v>
      </c>
      <c r="L84" t="s">
        <v>34</v>
      </c>
      <c r="M84" t="s">
        <v>20</v>
      </c>
      <c r="N84" t="s">
        <v>19</v>
      </c>
    </row>
    <row r="85" spans="1:14">
      <c r="A85" t="s">
        <v>1066</v>
      </c>
      <c r="B85" t="s">
        <v>1067</v>
      </c>
      <c r="C85" t="s">
        <v>30</v>
      </c>
      <c r="D85" t="s">
        <v>96</v>
      </c>
      <c r="E85" s="2">
        <v>10204.08</v>
      </c>
      <c r="F85" s="3"/>
      <c r="G85" s="3"/>
      <c r="H85" s="3"/>
      <c r="I85" s="2">
        <v>1</v>
      </c>
      <c r="J85">
        <v>65</v>
      </c>
      <c r="K85">
        <v>60.000000000000007</v>
      </c>
      <c r="L85" t="s">
        <v>18</v>
      </c>
      <c r="M85" t="s">
        <v>19</v>
      </c>
      <c r="N85" t="s">
        <v>19</v>
      </c>
    </row>
    <row r="86" spans="1:14">
      <c r="A86" t="s">
        <v>1072</v>
      </c>
      <c r="B86" t="s">
        <v>1073</v>
      </c>
      <c r="C86" t="s">
        <v>30</v>
      </c>
      <c r="D86" t="s">
        <v>96</v>
      </c>
      <c r="E86" s="2">
        <v>71.5</v>
      </c>
      <c r="F86" s="3"/>
      <c r="G86" s="3"/>
      <c r="H86" s="3"/>
      <c r="I86" s="2">
        <v>1</v>
      </c>
      <c r="J86">
        <v>29</v>
      </c>
      <c r="K86">
        <v>21</v>
      </c>
      <c r="L86" t="s">
        <v>18</v>
      </c>
      <c r="M86" t="s">
        <v>19</v>
      </c>
      <c r="N86" t="s">
        <v>20</v>
      </c>
    </row>
    <row r="87" spans="1:14">
      <c r="A87" t="s">
        <v>1074</v>
      </c>
      <c r="B87" t="s">
        <v>1075</v>
      </c>
      <c r="C87" t="s">
        <v>30</v>
      </c>
      <c r="D87" t="s">
        <v>96</v>
      </c>
      <c r="E87" s="2">
        <v>1287.5</v>
      </c>
      <c r="F87" s="3"/>
      <c r="G87" s="3"/>
      <c r="H87" s="3"/>
      <c r="I87" s="2">
        <v>1</v>
      </c>
      <c r="J87">
        <v>14</v>
      </c>
      <c r="K87">
        <v>12</v>
      </c>
      <c r="L87" t="s">
        <v>39</v>
      </c>
      <c r="M87" t="s">
        <v>20</v>
      </c>
      <c r="N87" t="s">
        <v>19</v>
      </c>
    </row>
    <row r="88" spans="1:14">
      <c r="A88" t="s">
        <v>1078</v>
      </c>
      <c r="B88" t="s">
        <v>1079</v>
      </c>
      <c r="C88" t="s">
        <v>30</v>
      </c>
      <c r="D88" t="s">
        <v>96</v>
      </c>
      <c r="E88" s="2">
        <v>8853.19</v>
      </c>
      <c r="F88" s="3"/>
      <c r="G88" s="3"/>
      <c r="H88" s="3"/>
      <c r="I88" s="2">
        <v>1</v>
      </c>
      <c r="J88">
        <v>61.000000000000007</v>
      </c>
      <c r="K88">
        <v>60</v>
      </c>
      <c r="L88" t="s">
        <v>18</v>
      </c>
      <c r="M88" t="s">
        <v>19</v>
      </c>
      <c r="N88" t="s">
        <v>20</v>
      </c>
    </row>
    <row r="89" spans="1:14">
      <c r="A89" t="s">
        <v>1080</v>
      </c>
      <c r="B89" t="s">
        <v>1081</v>
      </c>
      <c r="C89" t="s">
        <v>30</v>
      </c>
      <c r="D89" t="s">
        <v>96</v>
      </c>
      <c r="E89" s="2">
        <v>272.73</v>
      </c>
      <c r="F89" s="3"/>
      <c r="G89" s="3"/>
      <c r="H89" s="3"/>
      <c r="I89" s="2">
        <v>1</v>
      </c>
      <c r="J89">
        <v>110</v>
      </c>
      <c r="K89">
        <v>14</v>
      </c>
      <c r="L89" t="s">
        <v>18</v>
      </c>
      <c r="M89" t="s">
        <v>19</v>
      </c>
      <c r="N89" t="s">
        <v>20</v>
      </c>
    </row>
    <row r="90" spans="1:14">
      <c r="A90" t="s">
        <v>1090</v>
      </c>
      <c r="B90" t="s">
        <v>1091</v>
      </c>
      <c r="C90" t="s">
        <v>30</v>
      </c>
      <c r="D90" t="s">
        <v>96</v>
      </c>
      <c r="E90" s="2">
        <v>139</v>
      </c>
      <c r="F90" s="3"/>
      <c r="G90" s="3"/>
      <c r="H90" s="3"/>
      <c r="I90" s="2">
        <v>1</v>
      </c>
      <c r="J90">
        <v>27</v>
      </c>
      <c r="K90">
        <v>30</v>
      </c>
      <c r="L90" t="s">
        <v>18</v>
      </c>
      <c r="M90" t="s">
        <v>19</v>
      </c>
      <c r="N90" t="s">
        <v>20</v>
      </c>
    </row>
    <row r="91" spans="1:14">
      <c r="A91" t="s">
        <v>1100</v>
      </c>
      <c r="B91" t="s">
        <v>1101</v>
      </c>
      <c r="C91" t="s">
        <v>30</v>
      </c>
      <c r="D91" t="s">
        <v>96</v>
      </c>
      <c r="E91" s="2">
        <v>128154</v>
      </c>
      <c r="F91" s="3"/>
      <c r="G91" s="3"/>
      <c r="H91" s="3"/>
      <c r="I91" s="2">
        <v>1</v>
      </c>
      <c r="J91">
        <v>40</v>
      </c>
      <c r="K91">
        <v>30</v>
      </c>
      <c r="L91" t="s">
        <v>39</v>
      </c>
      <c r="M91" t="s">
        <v>19</v>
      </c>
      <c r="N91" t="s">
        <v>20</v>
      </c>
    </row>
    <row r="92" spans="1:14">
      <c r="A92" t="s">
        <v>1108</v>
      </c>
      <c r="B92" t="s">
        <v>1109</v>
      </c>
      <c r="C92" t="s">
        <v>30</v>
      </c>
      <c r="D92" t="s">
        <v>96</v>
      </c>
      <c r="E92" s="2">
        <v>397</v>
      </c>
      <c r="F92" s="3"/>
      <c r="G92" s="3"/>
      <c r="H92" s="3"/>
      <c r="I92" s="2">
        <v>1</v>
      </c>
      <c r="J92">
        <v>21</v>
      </c>
      <c r="K92">
        <v>21</v>
      </c>
      <c r="L92" t="s">
        <v>39</v>
      </c>
      <c r="M92" t="s">
        <v>20</v>
      </c>
      <c r="N92" t="s">
        <v>19</v>
      </c>
    </row>
    <row r="93" spans="1:14">
      <c r="A93" t="s">
        <v>1116</v>
      </c>
      <c r="B93" t="s">
        <v>1117</v>
      </c>
      <c r="C93" t="s">
        <v>30</v>
      </c>
      <c r="D93" t="s">
        <v>96</v>
      </c>
      <c r="E93" s="2">
        <v>3741</v>
      </c>
      <c r="F93" s="3"/>
      <c r="G93" s="3">
        <v>1</v>
      </c>
      <c r="H93" s="3">
        <v>1</v>
      </c>
      <c r="I93" s="2">
        <v>1</v>
      </c>
      <c r="J93">
        <v>47</v>
      </c>
      <c r="K93">
        <v>45</v>
      </c>
      <c r="L93" t="s">
        <v>39</v>
      </c>
      <c r="M93" t="s">
        <v>19</v>
      </c>
      <c r="N93" t="s">
        <v>20</v>
      </c>
    </row>
    <row r="94" spans="1:14">
      <c r="A94" t="s">
        <v>1118</v>
      </c>
      <c r="B94" t="s">
        <v>1119</v>
      </c>
      <c r="C94" t="s">
        <v>30</v>
      </c>
      <c r="D94" t="s">
        <v>96</v>
      </c>
      <c r="E94" s="2">
        <v>6845</v>
      </c>
      <c r="F94" s="3"/>
      <c r="G94" s="3"/>
      <c r="H94" s="3"/>
      <c r="I94" s="2">
        <v>1</v>
      </c>
      <c r="J94">
        <v>34</v>
      </c>
      <c r="K94">
        <v>30</v>
      </c>
      <c r="L94" t="s">
        <v>18</v>
      </c>
      <c r="M94" t="s">
        <v>19</v>
      </c>
      <c r="N94" t="s">
        <v>20</v>
      </c>
    </row>
    <row r="95" spans="1:14">
      <c r="A95" t="s">
        <v>1122</v>
      </c>
      <c r="B95" t="s">
        <v>1123</v>
      </c>
      <c r="C95" t="s">
        <v>30</v>
      </c>
      <c r="D95" t="s">
        <v>96</v>
      </c>
      <c r="E95" s="2">
        <v>2310</v>
      </c>
      <c r="F95" s="3"/>
      <c r="G95" s="3"/>
      <c r="H95" s="3"/>
      <c r="I95" s="2">
        <v>1</v>
      </c>
      <c r="J95">
        <v>55</v>
      </c>
      <c r="K95">
        <v>30</v>
      </c>
      <c r="L95" t="s">
        <v>34</v>
      </c>
      <c r="M95" t="s">
        <v>19</v>
      </c>
      <c r="N95" t="s">
        <v>20</v>
      </c>
    </row>
    <row r="96" spans="1:14">
      <c r="A96" t="s">
        <v>1124</v>
      </c>
      <c r="B96" t="s">
        <v>1125</v>
      </c>
      <c r="C96" t="s">
        <v>30</v>
      </c>
      <c r="D96" t="s">
        <v>96</v>
      </c>
      <c r="E96" s="2">
        <v>196</v>
      </c>
      <c r="F96" s="3"/>
      <c r="G96" s="3"/>
      <c r="H96" s="3"/>
      <c r="I96" s="2">
        <v>1</v>
      </c>
      <c r="J96">
        <v>41</v>
      </c>
      <c r="K96">
        <v>14</v>
      </c>
      <c r="L96" t="s">
        <v>18</v>
      </c>
      <c r="M96" t="s">
        <v>19</v>
      </c>
      <c r="N96" t="s">
        <v>20</v>
      </c>
    </row>
    <row r="97" spans="1:14">
      <c r="A97" t="s">
        <v>1126</v>
      </c>
      <c r="B97" t="s">
        <v>1127</v>
      </c>
      <c r="C97" t="s">
        <v>30</v>
      </c>
      <c r="D97" t="s">
        <v>96</v>
      </c>
      <c r="E97" s="2">
        <v>8421.5</v>
      </c>
      <c r="F97" s="3"/>
      <c r="G97" s="3"/>
      <c r="H97" s="3"/>
      <c r="I97" s="2">
        <v>1</v>
      </c>
      <c r="J97">
        <v>19</v>
      </c>
      <c r="K97">
        <v>21</v>
      </c>
      <c r="L97" t="s">
        <v>39</v>
      </c>
      <c r="M97" t="s">
        <v>19</v>
      </c>
      <c r="N97" t="s">
        <v>20</v>
      </c>
    </row>
    <row r="98" spans="1:14">
      <c r="A98" t="s">
        <v>1128</v>
      </c>
      <c r="B98" t="s">
        <v>1129</v>
      </c>
      <c r="C98" t="s">
        <v>30</v>
      </c>
      <c r="D98" t="s">
        <v>96</v>
      </c>
      <c r="E98" s="2">
        <v>69</v>
      </c>
      <c r="F98" s="3"/>
      <c r="G98" s="3"/>
      <c r="H98" s="3"/>
      <c r="I98" s="2">
        <v>1</v>
      </c>
      <c r="J98">
        <v>35</v>
      </c>
      <c r="K98">
        <v>7</v>
      </c>
      <c r="L98" t="s">
        <v>18</v>
      </c>
      <c r="M98" t="s">
        <v>19</v>
      </c>
      <c r="N98" t="s">
        <v>20</v>
      </c>
    </row>
    <row r="99" spans="1:14">
      <c r="A99" t="s">
        <v>1130</v>
      </c>
      <c r="B99" t="s">
        <v>1131</v>
      </c>
      <c r="C99" t="s">
        <v>30</v>
      </c>
      <c r="D99" t="s">
        <v>96</v>
      </c>
      <c r="E99" s="2">
        <v>2905</v>
      </c>
      <c r="F99" s="3"/>
      <c r="G99" s="3"/>
      <c r="H99" s="3"/>
      <c r="I99" s="2">
        <v>1</v>
      </c>
      <c r="J99">
        <v>14</v>
      </c>
      <c r="K99">
        <v>14</v>
      </c>
      <c r="L99" t="s">
        <v>39</v>
      </c>
      <c r="M99" t="s">
        <v>20</v>
      </c>
      <c r="N99" t="s">
        <v>19</v>
      </c>
    </row>
    <row r="100" spans="1:14">
      <c r="A100" t="s">
        <v>1142</v>
      </c>
      <c r="B100" t="s">
        <v>1143</v>
      </c>
      <c r="C100" t="s">
        <v>30</v>
      </c>
      <c r="D100" t="s">
        <v>96</v>
      </c>
      <c r="E100" s="2">
        <v>300</v>
      </c>
      <c r="F100" s="3"/>
      <c r="G100" s="3"/>
      <c r="H100" s="3"/>
      <c r="I100" s="2">
        <v>1</v>
      </c>
      <c r="J100">
        <v>107</v>
      </c>
      <c r="K100">
        <v>14</v>
      </c>
      <c r="L100" t="s">
        <v>24</v>
      </c>
      <c r="M100" t="s">
        <v>19</v>
      </c>
      <c r="N100" t="s">
        <v>19</v>
      </c>
    </row>
    <row r="101" spans="1:14">
      <c r="A101" t="s">
        <v>1152</v>
      </c>
      <c r="B101" t="s">
        <v>1153</v>
      </c>
      <c r="C101" t="s">
        <v>30</v>
      </c>
      <c r="D101" t="s">
        <v>96</v>
      </c>
      <c r="E101" s="2">
        <v>1881.9</v>
      </c>
      <c r="F101" s="3"/>
      <c r="G101" s="3"/>
      <c r="H101" s="3"/>
      <c r="I101" s="2">
        <v>1</v>
      </c>
      <c r="J101">
        <v>33</v>
      </c>
      <c r="K101">
        <v>30</v>
      </c>
      <c r="L101" t="s">
        <v>153</v>
      </c>
      <c r="M101" t="s">
        <v>20</v>
      </c>
      <c r="N101" t="s">
        <v>20</v>
      </c>
    </row>
    <row r="102" spans="1:14">
      <c r="A102" t="s">
        <v>1158</v>
      </c>
      <c r="B102" t="s">
        <v>1159</v>
      </c>
      <c r="C102" t="s">
        <v>30</v>
      </c>
      <c r="D102" t="s">
        <v>96</v>
      </c>
      <c r="E102" s="2">
        <v>120</v>
      </c>
      <c r="F102" s="3"/>
      <c r="G102" s="3"/>
      <c r="H102" s="3"/>
      <c r="I102" s="2">
        <v>1</v>
      </c>
      <c r="J102">
        <v>28</v>
      </c>
      <c r="K102">
        <v>14</v>
      </c>
      <c r="L102" t="s">
        <v>34</v>
      </c>
      <c r="M102" t="s">
        <v>20</v>
      </c>
      <c r="N102" t="s">
        <v>19</v>
      </c>
    </row>
    <row r="103" spans="1:14">
      <c r="A103" t="s">
        <v>1160</v>
      </c>
      <c r="B103" t="s">
        <v>1161</v>
      </c>
      <c r="C103" t="s">
        <v>30</v>
      </c>
      <c r="D103" t="s">
        <v>96</v>
      </c>
      <c r="E103" s="2">
        <v>3000</v>
      </c>
      <c r="F103" s="3"/>
      <c r="G103" s="3"/>
      <c r="H103" s="3"/>
      <c r="I103" s="2">
        <v>1</v>
      </c>
      <c r="J103">
        <v>29</v>
      </c>
      <c r="K103">
        <v>30</v>
      </c>
      <c r="L103" t="s">
        <v>39</v>
      </c>
      <c r="M103" t="s">
        <v>19</v>
      </c>
      <c r="N103" t="s">
        <v>20</v>
      </c>
    </row>
    <row r="104" spans="1:14">
      <c r="A104" t="s">
        <v>1162</v>
      </c>
      <c r="B104" t="s">
        <v>1163</v>
      </c>
      <c r="C104" t="s">
        <v>30</v>
      </c>
      <c r="D104" t="s">
        <v>96</v>
      </c>
      <c r="E104" s="2">
        <v>1290</v>
      </c>
      <c r="F104" s="3"/>
      <c r="G104" s="3"/>
      <c r="H104" s="3"/>
      <c r="I104" s="2">
        <v>1</v>
      </c>
      <c r="J104">
        <v>19</v>
      </c>
      <c r="K104">
        <v>10</v>
      </c>
      <c r="L104" t="s">
        <v>428</v>
      </c>
      <c r="M104" t="s">
        <v>19</v>
      </c>
      <c r="N104" t="s">
        <v>19</v>
      </c>
    </row>
    <row r="105" spans="1:14">
      <c r="A105" t="s">
        <v>1164</v>
      </c>
      <c r="B105" t="s">
        <v>1165</v>
      </c>
      <c r="C105" t="s">
        <v>30</v>
      </c>
      <c r="D105" t="s">
        <v>96</v>
      </c>
      <c r="E105" s="2">
        <v>265</v>
      </c>
      <c r="F105" s="3"/>
      <c r="G105" s="3"/>
      <c r="H105" s="3"/>
      <c r="I105" s="2">
        <v>1</v>
      </c>
      <c r="J105">
        <v>42</v>
      </c>
      <c r="K105">
        <v>14</v>
      </c>
      <c r="L105" t="s">
        <v>18</v>
      </c>
      <c r="M105" t="s">
        <v>19</v>
      </c>
      <c r="N105" t="s">
        <v>20</v>
      </c>
    </row>
    <row r="106" spans="1:14">
      <c r="A106" t="s">
        <v>1168</v>
      </c>
      <c r="B106" t="s">
        <v>1169</v>
      </c>
      <c r="C106" t="s">
        <v>30</v>
      </c>
      <c r="D106" t="s">
        <v>96</v>
      </c>
      <c r="E106" s="2">
        <v>857.24</v>
      </c>
      <c r="F106" s="3"/>
      <c r="G106" s="3"/>
      <c r="H106" s="3"/>
      <c r="I106" s="2">
        <v>1</v>
      </c>
      <c r="J106">
        <v>21</v>
      </c>
      <c r="K106">
        <v>14</v>
      </c>
      <c r="L106" t="s">
        <v>18</v>
      </c>
      <c r="M106" t="s">
        <v>19</v>
      </c>
      <c r="N106" t="s">
        <v>20</v>
      </c>
    </row>
    <row r="107" spans="1:14">
      <c r="A107" t="s">
        <v>1172</v>
      </c>
      <c r="B107" t="s">
        <v>1173</v>
      </c>
      <c r="C107" t="s">
        <v>30</v>
      </c>
      <c r="D107" t="s">
        <v>96</v>
      </c>
      <c r="E107" s="2">
        <v>108.87</v>
      </c>
      <c r="F107" s="3"/>
      <c r="G107" s="3"/>
      <c r="H107" s="3"/>
      <c r="I107" s="2">
        <v>1</v>
      </c>
      <c r="J107">
        <v>12</v>
      </c>
      <c r="K107">
        <v>14</v>
      </c>
      <c r="L107" t="s">
        <v>39</v>
      </c>
      <c r="M107" t="s">
        <v>19</v>
      </c>
      <c r="N107" t="s">
        <v>19</v>
      </c>
    </row>
    <row r="108" spans="1:14">
      <c r="A108" t="s">
        <v>1176</v>
      </c>
      <c r="B108" t="s">
        <v>1177</v>
      </c>
      <c r="C108" t="s">
        <v>30</v>
      </c>
      <c r="D108" t="s">
        <v>96</v>
      </c>
      <c r="E108" s="2">
        <v>1796.77</v>
      </c>
      <c r="F108" s="3"/>
      <c r="G108" s="3"/>
      <c r="H108" s="3"/>
      <c r="I108" s="2">
        <v>1</v>
      </c>
      <c r="J108">
        <v>118</v>
      </c>
      <c r="K108">
        <v>14</v>
      </c>
      <c r="L108" t="s">
        <v>24</v>
      </c>
      <c r="M108" t="s">
        <v>19</v>
      </c>
      <c r="N108" t="s">
        <v>20</v>
      </c>
    </row>
    <row r="109" spans="1:14">
      <c r="A109" t="s">
        <v>1188</v>
      </c>
      <c r="B109" t="s">
        <v>1189</v>
      </c>
      <c r="C109" t="s">
        <v>30</v>
      </c>
      <c r="D109" t="s">
        <v>96</v>
      </c>
      <c r="E109" s="2">
        <v>1875</v>
      </c>
      <c r="F109" s="3"/>
      <c r="G109" s="3"/>
      <c r="H109" s="3"/>
      <c r="I109" s="2">
        <v>1</v>
      </c>
      <c r="J109">
        <v>17</v>
      </c>
      <c r="K109">
        <v>14</v>
      </c>
      <c r="L109" t="s">
        <v>39</v>
      </c>
      <c r="M109" t="s">
        <v>20</v>
      </c>
      <c r="N109" t="s">
        <v>19</v>
      </c>
    </row>
    <row r="110" spans="1:14">
      <c r="A110" t="s">
        <v>28</v>
      </c>
      <c r="B110" t="s">
        <v>29</v>
      </c>
      <c r="C110" t="s">
        <v>30</v>
      </c>
      <c r="D110" t="s">
        <v>31</v>
      </c>
      <c r="E110" s="2">
        <v>1459890.05</v>
      </c>
      <c r="F110" s="3"/>
      <c r="G110" s="3"/>
      <c r="H110" s="3"/>
      <c r="I110" s="2">
        <v>268</v>
      </c>
      <c r="J110">
        <v>60.022638321290003</v>
      </c>
      <c r="K110">
        <v>59.999999999999986</v>
      </c>
      <c r="L110" t="s">
        <v>18</v>
      </c>
      <c r="M110" t="s">
        <v>19</v>
      </c>
      <c r="N110" t="s">
        <v>20</v>
      </c>
    </row>
    <row r="111" spans="1:14">
      <c r="A111" t="s">
        <v>43</v>
      </c>
      <c r="B111" t="s">
        <v>44</v>
      </c>
      <c r="C111" t="s">
        <v>30</v>
      </c>
      <c r="D111" t="s">
        <v>31</v>
      </c>
      <c r="E111" s="2">
        <v>1271566.2300000011</v>
      </c>
      <c r="F111" s="3"/>
      <c r="G111" s="3">
        <v>0.45794392523364486</v>
      </c>
      <c r="H111" s="3">
        <v>0.45299516172272014</v>
      </c>
      <c r="I111" s="2">
        <v>214</v>
      </c>
      <c r="J111">
        <v>67.329648357545508</v>
      </c>
      <c r="K111">
        <v>56.275663861456401</v>
      </c>
      <c r="L111" t="s">
        <v>18</v>
      </c>
      <c r="M111" t="s">
        <v>19</v>
      </c>
      <c r="N111" t="s">
        <v>20</v>
      </c>
    </row>
    <row r="112" spans="1:14">
      <c r="A112" t="s">
        <v>56</v>
      </c>
      <c r="B112" t="s">
        <v>57</v>
      </c>
      <c r="C112" t="s">
        <v>30</v>
      </c>
      <c r="D112" t="s">
        <v>31</v>
      </c>
      <c r="E112" s="2">
        <v>738534.05000000028</v>
      </c>
      <c r="F112" s="3"/>
      <c r="G112" s="3">
        <v>0.1807909604519774</v>
      </c>
      <c r="H112" s="3">
        <v>0.32319261380027076</v>
      </c>
      <c r="I112" s="2">
        <v>177</v>
      </c>
      <c r="J112">
        <v>52.812348192716698</v>
      </c>
      <c r="K112">
        <v>48.620230366386672</v>
      </c>
      <c r="L112" t="s">
        <v>18</v>
      </c>
      <c r="M112" t="s">
        <v>19</v>
      </c>
      <c r="N112" t="s">
        <v>20</v>
      </c>
    </row>
    <row r="113" spans="1:14">
      <c r="A113" t="s">
        <v>70</v>
      </c>
      <c r="B113" t="s">
        <v>71</v>
      </c>
      <c r="C113" t="s">
        <v>30</v>
      </c>
      <c r="D113" t="s">
        <v>31</v>
      </c>
      <c r="E113" s="2">
        <v>786589.1800000004</v>
      </c>
      <c r="F113" s="3"/>
      <c r="G113" s="3"/>
      <c r="H113" s="3"/>
      <c r="I113" s="2">
        <v>106</v>
      </c>
      <c r="J113">
        <v>61.232827742200882</v>
      </c>
      <c r="K113">
        <v>60.377980507781146</v>
      </c>
      <c r="L113" t="s">
        <v>18</v>
      </c>
      <c r="M113" t="s">
        <v>19</v>
      </c>
      <c r="N113" t="s">
        <v>20</v>
      </c>
    </row>
    <row r="114" spans="1:14">
      <c r="A114" t="s">
        <v>75</v>
      </c>
      <c r="B114" t="s">
        <v>76</v>
      </c>
      <c r="C114" t="s">
        <v>30</v>
      </c>
      <c r="D114" t="s">
        <v>31</v>
      </c>
      <c r="E114" s="2">
        <v>453472.04999999981</v>
      </c>
      <c r="F114" s="3"/>
      <c r="G114" s="3"/>
      <c r="H114" s="3"/>
      <c r="I114" s="2">
        <v>97</v>
      </c>
      <c r="J114">
        <v>61.847570296780177</v>
      </c>
      <c r="K114">
        <v>60.00000000000005</v>
      </c>
      <c r="L114" t="s">
        <v>18</v>
      </c>
      <c r="M114" t="s">
        <v>19</v>
      </c>
      <c r="N114" t="s">
        <v>20</v>
      </c>
    </row>
    <row r="115" spans="1:14">
      <c r="A115" t="s">
        <v>79</v>
      </c>
      <c r="B115" t="s">
        <v>80</v>
      </c>
      <c r="C115" t="s">
        <v>30</v>
      </c>
      <c r="D115" t="s">
        <v>31</v>
      </c>
      <c r="E115" s="2">
        <v>949359.12999999977</v>
      </c>
      <c r="F115" s="3"/>
      <c r="G115" s="3">
        <v>0.36781609195402298</v>
      </c>
      <c r="H115" s="3">
        <v>0.61276708846735395</v>
      </c>
      <c r="I115" s="2">
        <v>87</v>
      </c>
      <c r="J115">
        <v>60.482105345086751</v>
      </c>
      <c r="K115">
        <v>60</v>
      </c>
      <c r="L115" t="s">
        <v>18</v>
      </c>
      <c r="M115" t="s">
        <v>19</v>
      </c>
      <c r="N115" t="s">
        <v>20</v>
      </c>
    </row>
    <row r="116" spans="1:14">
      <c r="A116" t="s">
        <v>109</v>
      </c>
      <c r="B116" t="s">
        <v>110</v>
      </c>
      <c r="C116" t="s">
        <v>30</v>
      </c>
      <c r="D116" t="s">
        <v>31</v>
      </c>
      <c r="E116" s="2">
        <v>79798.609999999986</v>
      </c>
      <c r="F116" s="3"/>
      <c r="G116" s="3"/>
      <c r="H116" s="3"/>
      <c r="I116" s="2">
        <v>55</v>
      </c>
      <c r="J116">
        <v>20.576955509761916</v>
      </c>
      <c r="K116">
        <v>19.310670969095682</v>
      </c>
      <c r="L116" t="s">
        <v>24</v>
      </c>
      <c r="M116" t="s">
        <v>19</v>
      </c>
      <c r="N116" t="s">
        <v>20</v>
      </c>
    </row>
    <row r="117" spans="1:14">
      <c r="A117" t="s">
        <v>240</v>
      </c>
      <c r="B117" t="s">
        <v>241</v>
      </c>
      <c r="C117" t="s">
        <v>30</v>
      </c>
      <c r="D117" t="s">
        <v>31</v>
      </c>
      <c r="E117" s="2">
        <v>53669.860000000015</v>
      </c>
      <c r="F117" s="3"/>
      <c r="G117" s="3"/>
      <c r="H117" s="3"/>
      <c r="I117" s="2">
        <v>16</v>
      </c>
      <c r="J117">
        <v>57.281329968067723</v>
      </c>
      <c r="K117">
        <v>44.999999999999979</v>
      </c>
      <c r="L117" t="s">
        <v>39</v>
      </c>
      <c r="M117" t="s">
        <v>19</v>
      </c>
      <c r="N117" t="s">
        <v>20</v>
      </c>
    </row>
    <row r="118" spans="1:14">
      <c r="A118" t="s">
        <v>314</v>
      </c>
      <c r="B118" t="s">
        <v>315</v>
      </c>
      <c r="C118" t="s">
        <v>30</v>
      </c>
      <c r="D118" t="s">
        <v>31</v>
      </c>
      <c r="E118" s="2">
        <v>57331.270000000019</v>
      </c>
      <c r="F118" s="3"/>
      <c r="G118" s="3"/>
      <c r="H118" s="3"/>
      <c r="I118" s="2">
        <v>12</v>
      </c>
      <c r="J118">
        <v>22.051877622805147</v>
      </c>
      <c r="K118">
        <v>9.9999999999999911</v>
      </c>
      <c r="L118" t="s">
        <v>316</v>
      </c>
      <c r="M118" t="s">
        <v>19</v>
      </c>
      <c r="N118" t="s">
        <v>20</v>
      </c>
    </row>
    <row r="119" spans="1:14">
      <c r="A119" t="s">
        <v>394</v>
      </c>
      <c r="B119" t="s">
        <v>395</v>
      </c>
      <c r="C119" t="s">
        <v>30</v>
      </c>
      <c r="D119" t="s">
        <v>31</v>
      </c>
      <c r="E119" s="2">
        <v>48516.4</v>
      </c>
      <c r="F119" s="3"/>
      <c r="G119" s="3"/>
      <c r="H119" s="3"/>
      <c r="I119" s="2">
        <v>11</v>
      </c>
      <c r="J119">
        <v>28.145584379714904</v>
      </c>
      <c r="K119">
        <v>27.959452886034413</v>
      </c>
      <c r="L119" t="s">
        <v>34</v>
      </c>
      <c r="M119" t="s">
        <v>19</v>
      </c>
      <c r="N119" t="s">
        <v>20</v>
      </c>
    </row>
    <row r="120" spans="1:14">
      <c r="A120" t="s">
        <v>440</v>
      </c>
      <c r="B120" t="s">
        <v>441</v>
      </c>
      <c r="C120" t="s">
        <v>30</v>
      </c>
      <c r="D120" t="s">
        <v>31</v>
      </c>
      <c r="E120" s="2">
        <v>18520.420000000002</v>
      </c>
      <c r="F120" s="3"/>
      <c r="G120" s="3"/>
      <c r="H120" s="3"/>
      <c r="I120" s="2">
        <v>9</v>
      </c>
      <c r="J120">
        <v>60.642190619867151</v>
      </c>
      <c r="K120">
        <v>60.000000000000007</v>
      </c>
      <c r="L120" t="s">
        <v>18</v>
      </c>
      <c r="M120" t="s">
        <v>19</v>
      </c>
      <c r="N120" t="s">
        <v>20</v>
      </c>
    </row>
    <row r="121" spans="1:14">
      <c r="A121" t="s">
        <v>488</v>
      </c>
      <c r="B121" t="s">
        <v>489</v>
      </c>
      <c r="C121" t="s">
        <v>30</v>
      </c>
      <c r="D121" t="s">
        <v>31</v>
      </c>
      <c r="E121" s="2">
        <v>35118.67</v>
      </c>
      <c r="F121" s="3"/>
      <c r="G121" s="3"/>
      <c r="H121" s="3"/>
      <c r="I121" s="2">
        <v>8</v>
      </c>
      <c r="J121">
        <v>32.107037652621813</v>
      </c>
      <c r="K121">
        <v>29.975220018297957</v>
      </c>
      <c r="L121" t="s">
        <v>18</v>
      </c>
      <c r="M121" t="s">
        <v>19</v>
      </c>
      <c r="N121" t="s">
        <v>20</v>
      </c>
    </row>
    <row r="122" spans="1:14">
      <c r="A122" t="s">
        <v>518</v>
      </c>
      <c r="B122" t="s">
        <v>519</v>
      </c>
      <c r="C122" t="s">
        <v>30</v>
      </c>
      <c r="D122" t="s">
        <v>31</v>
      </c>
      <c r="E122" s="2">
        <v>8737.7799999999988</v>
      </c>
      <c r="F122" s="3"/>
      <c r="G122" s="3"/>
      <c r="H122" s="3"/>
      <c r="I122" s="2">
        <v>6</v>
      </c>
      <c r="J122">
        <v>63.673390723959649</v>
      </c>
      <c r="K122">
        <v>60.000000000000007</v>
      </c>
      <c r="L122" t="s">
        <v>39</v>
      </c>
      <c r="M122" t="s">
        <v>19</v>
      </c>
      <c r="N122" t="s">
        <v>20</v>
      </c>
    </row>
    <row r="123" spans="1:14">
      <c r="A123" t="s">
        <v>686</v>
      </c>
      <c r="B123" t="s">
        <v>687</v>
      </c>
      <c r="C123" t="s">
        <v>30</v>
      </c>
      <c r="D123" t="s">
        <v>31</v>
      </c>
      <c r="E123" s="2">
        <v>42608.74</v>
      </c>
      <c r="F123" s="3"/>
      <c r="G123" s="3"/>
      <c r="H123" s="3"/>
      <c r="I123" s="2">
        <v>3</v>
      </c>
      <c r="J123">
        <v>58</v>
      </c>
      <c r="K123">
        <v>30</v>
      </c>
      <c r="L123" t="s">
        <v>34</v>
      </c>
      <c r="M123" t="s">
        <v>19</v>
      </c>
      <c r="N123" t="s">
        <v>20</v>
      </c>
    </row>
    <row r="124" spans="1:14">
      <c r="A124" t="s">
        <v>14</v>
      </c>
      <c r="B124" t="s">
        <v>15</v>
      </c>
      <c r="C124" t="s">
        <v>16</v>
      </c>
      <c r="D124" t="s">
        <v>17</v>
      </c>
      <c r="E124" s="2">
        <v>345458.50999999983</v>
      </c>
      <c r="F124" s="3"/>
      <c r="G124" s="3"/>
      <c r="H124" s="3"/>
      <c r="I124" s="2">
        <v>529</v>
      </c>
      <c r="J124">
        <v>50.700572020282067</v>
      </c>
      <c r="K124">
        <v>43.613412904478551</v>
      </c>
      <c r="L124" t="s">
        <v>18</v>
      </c>
      <c r="M124" t="s">
        <v>19</v>
      </c>
      <c r="N124" t="s">
        <v>20</v>
      </c>
    </row>
    <row r="125" spans="1:14">
      <c r="A125" t="s">
        <v>62</v>
      </c>
      <c r="B125" t="s">
        <v>63</v>
      </c>
      <c r="C125" t="s">
        <v>16</v>
      </c>
      <c r="D125" t="s">
        <v>17</v>
      </c>
      <c r="E125" s="2">
        <v>806993.12999999989</v>
      </c>
      <c r="F125" s="3"/>
      <c r="G125" s="3">
        <v>0.53030303030303028</v>
      </c>
      <c r="H125" s="3">
        <v>0.77525391077368921</v>
      </c>
      <c r="I125" s="2">
        <v>132</v>
      </c>
      <c r="J125">
        <v>58.386732338105553</v>
      </c>
      <c r="K125">
        <v>46.41989530939378</v>
      </c>
      <c r="L125" t="s">
        <v>39</v>
      </c>
      <c r="M125" t="s">
        <v>19</v>
      </c>
      <c r="N125" t="s">
        <v>20</v>
      </c>
    </row>
    <row r="126" spans="1:14">
      <c r="A126" t="s">
        <v>66</v>
      </c>
      <c r="B126" t="s">
        <v>67</v>
      </c>
      <c r="C126" t="s">
        <v>16</v>
      </c>
      <c r="D126" t="s">
        <v>17</v>
      </c>
      <c r="E126" s="2">
        <v>265108.84999999998</v>
      </c>
      <c r="F126" s="3"/>
      <c r="G126" s="3">
        <v>0.49180327868852458</v>
      </c>
      <c r="H126" s="3">
        <v>0.70796429466613442</v>
      </c>
      <c r="I126" s="2">
        <v>122</v>
      </c>
      <c r="J126">
        <v>60.111795777470284</v>
      </c>
      <c r="K126">
        <v>51.484825006784952</v>
      </c>
      <c r="L126" t="s">
        <v>39</v>
      </c>
      <c r="M126" t="s">
        <v>19</v>
      </c>
      <c r="N126" t="s">
        <v>20</v>
      </c>
    </row>
    <row r="127" spans="1:14">
      <c r="A127" t="s">
        <v>85</v>
      </c>
      <c r="B127" t="s">
        <v>86</v>
      </c>
      <c r="C127" t="s">
        <v>16</v>
      </c>
      <c r="D127" t="s">
        <v>17</v>
      </c>
      <c r="E127" s="2">
        <v>436221.64000000007</v>
      </c>
      <c r="F127" s="3"/>
      <c r="G127" s="3">
        <v>0.2857142857142857</v>
      </c>
      <c r="H127" s="3">
        <v>0.24417050928514222</v>
      </c>
      <c r="I127" s="2">
        <v>77</v>
      </c>
      <c r="J127">
        <v>56.865733896190925</v>
      </c>
      <c r="K127">
        <v>55.948793668282931</v>
      </c>
      <c r="L127" t="s">
        <v>34</v>
      </c>
      <c r="M127" t="s">
        <v>19</v>
      </c>
      <c r="N127" t="s">
        <v>20</v>
      </c>
    </row>
    <row r="128" spans="1:14">
      <c r="A128" t="s">
        <v>115</v>
      </c>
      <c r="B128" t="s">
        <v>116</v>
      </c>
      <c r="C128" t="s">
        <v>16</v>
      </c>
      <c r="D128" t="s">
        <v>17</v>
      </c>
      <c r="E128" s="2">
        <v>401487.95</v>
      </c>
      <c r="F128" s="3"/>
      <c r="G128" s="3">
        <v>0.49056603773584906</v>
      </c>
      <c r="H128" s="3">
        <v>0.69650279665927706</v>
      </c>
      <c r="I128" s="2">
        <v>53</v>
      </c>
      <c r="J128">
        <v>46.790656753812243</v>
      </c>
      <c r="K128">
        <v>40.728811197662736</v>
      </c>
      <c r="L128" t="s">
        <v>39</v>
      </c>
      <c r="M128" t="s">
        <v>19</v>
      </c>
      <c r="N128" t="s">
        <v>20</v>
      </c>
    </row>
    <row r="129" spans="1:14">
      <c r="A129" t="s">
        <v>119</v>
      </c>
      <c r="B129" t="s">
        <v>120</v>
      </c>
      <c r="C129" t="s">
        <v>16</v>
      </c>
      <c r="D129" t="s">
        <v>17</v>
      </c>
      <c r="E129" s="2">
        <v>17617.78</v>
      </c>
      <c r="F129" s="3"/>
      <c r="G129" s="3">
        <v>2.1276595744680851E-2</v>
      </c>
      <c r="H129" s="3">
        <v>5.6760840469116999E-3</v>
      </c>
      <c r="I129" s="2">
        <v>47</v>
      </c>
      <c r="J129">
        <v>24.806856556474539</v>
      </c>
      <c r="K129">
        <v>20.660402710071331</v>
      </c>
      <c r="L129" t="s">
        <v>39</v>
      </c>
      <c r="M129" t="s">
        <v>20</v>
      </c>
      <c r="N129" t="s">
        <v>20</v>
      </c>
    </row>
    <row r="130" spans="1:14">
      <c r="A130" t="s">
        <v>123</v>
      </c>
      <c r="B130" t="s">
        <v>124</v>
      </c>
      <c r="C130" t="s">
        <v>16</v>
      </c>
      <c r="D130" t="s">
        <v>17</v>
      </c>
      <c r="E130" s="2">
        <v>79767.589999999982</v>
      </c>
      <c r="F130" s="3"/>
      <c r="G130" s="3">
        <v>4.3478260869565216E-2</v>
      </c>
      <c r="H130" s="3">
        <v>3.6507308294007633E-2</v>
      </c>
      <c r="I130" s="2">
        <v>46</v>
      </c>
      <c r="J130">
        <v>44.986502914278859</v>
      </c>
      <c r="K130">
        <v>31.433156498773513</v>
      </c>
      <c r="L130" t="s">
        <v>18</v>
      </c>
      <c r="M130" t="s">
        <v>19</v>
      </c>
      <c r="N130" t="s">
        <v>20</v>
      </c>
    </row>
    <row r="131" spans="1:14">
      <c r="A131" t="s">
        <v>180</v>
      </c>
      <c r="B131" t="s">
        <v>181</v>
      </c>
      <c r="C131" t="s">
        <v>16</v>
      </c>
      <c r="D131" t="s">
        <v>17</v>
      </c>
      <c r="E131" s="2">
        <v>319294.59999999998</v>
      </c>
      <c r="F131" s="3"/>
      <c r="G131" s="3">
        <v>1</v>
      </c>
      <c r="H131" s="3">
        <v>1</v>
      </c>
      <c r="I131" s="2">
        <v>28</v>
      </c>
      <c r="J131">
        <v>46.611808342515026</v>
      </c>
      <c r="K131">
        <v>45</v>
      </c>
      <c r="L131" t="s">
        <v>39</v>
      </c>
      <c r="M131" t="s">
        <v>20</v>
      </c>
      <c r="N131" t="s">
        <v>19</v>
      </c>
    </row>
    <row r="132" spans="1:14">
      <c r="A132" t="s">
        <v>205</v>
      </c>
      <c r="B132" t="s">
        <v>206</v>
      </c>
      <c r="C132" t="s">
        <v>16</v>
      </c>
      <c r="D132" t="s">
        <v>17</v>
      </c>
      <c r="E132" s="2">
        <v>126157</v>
      </c>
      <c r="F132" s="3"/>
      <c r="G132" s="3">
        <v>0.52173913043478259</v>
      </c>
      <c r="H132" s="3">
        <v>0.36150986469240709</v>
      </c>
      <c r="I132" s="2">
        <v>23</v>
      </c>
      <c r="J132">
        <v>48.342224371219984</v>
      </c>
      <c r="K132">
        <v>35.422647970386109</v>
      </c>
      <c r="L132" t="s">
        <v>39</v>
      </c>
      <c r="M132" t="s">
        <v>19</v>
      </c>
      <c r="N132" t="s">
        <v>20</v>
      </c>
    </row>
    <row r="133" spans="1:14">
      <c r="A133" t="s">
        <v>238</v>
      </c>
      <c r="B133" t="s">
        <v>239</v>
      </c>
      <c r="C133" t="s">
        <v>16</v>
      </c>
      <c r="D133" t="s">
        <v>17</v>
      </c>
      <c r="E133" s="2">
        <v>95851.56</v>
      </c>
      <c r="F133" s="3"/>
      <c r="G133" s="3">
        <v>0.88235294117647056</v>
      </c>
      <c r="H133" s="3">
        <v>0.91124046390063962</v>
      </c>
      <c r="I133" s="2">
        <v>17</v>
      </c>
      <c r="J133">
        <v>79.1772137750864</v>
      </c>
      <c r="K133">
        <v>60.000000000000007</v>
      </c>
      <c r="L133" t="s">
        <v>18</v>
      </c>
      <c r="M133" t="s">
        <v>19</v>
      </c>
      <c r="N133" t="s">
        <v>20</v>
      </c>
    </row>
    <row r="134" spans="1:14">
      <c r="A134" t="s">
        <v>296</v>
      </c>
      <c r="B134" t="s">
        <v>297</v>
      </c>
      <c r="C134" t="s">
        <v>16</v>
      </c>
      <c r="D134" t="s">
        <v>17</v>
      </c>
      <c r="E134" s="2">
        <v>22263</v>
      </c>
      <c r="F134" s="3"/>
      <c r="G134" s="3">
        <v>0.53846153846153844</v>
      </c>
      <c r="H134" s="3">
        <v>0.17104613035080626</v>
      </c>
      <c r="I134" s="2">
        <v>13</v>
      </c>
      <c r="J134">
        <v>50.14899160041324</v>
      </c>
      <c r="K134">
        <v>33.721870367874949</v>
      </c>
      <c r="L134" t="s">
        <v>18</v>
      </c>
      <c r="M134" t="s">
        <v>19</v>
      </c>
      <c r="N134" t="s">
        <v>20</v>
      </c>
    </row>
    <row r="135" spans="1:14">
      <c r="A135" t="s">
        <v>304</v>
      </c>
      <c r="B135" t="s">
        <v>305</v>
      </c>
      <c r="C135" t="s">
        <v>16</v>
      </c>
      <c r="D135" t="s">
        <v>17</v>
      </c>
      <c r="E135" s="2">
        <v>106488</v>
      </c>
      <c r="F135" s="3"/>
      <c r="G135" s="3"/>
      <c r="H135" s="3"/>
      <c r="I135" s="2">
        <v>13</v>
      </c>
      <c r="J135">
        <v>30.671023965141611</v>
      </c>
      <c r="K135">
        <v>30.232843137254903</v>
      </c>
      <c r="L135" t="s">
        <v>34</v>
      </c>
      <c r="M135" t="s">
        <v>19</v>
      </c>
      <c r="N135" t="s">
        <v>20</v>
      </c>
    </row>
    <row r="136" spans="1:14">
      <c r="A136" t="s">
        <v>327</v>
      </c>
      <c r="B136" t="s">
        <v>328</v>
      </c>
      <c r="C136" t="s">
        <v>16</v>
      </c>
      <c r="D136" t="s">
        <v>17</v>
      </c>
      <c r="E136" s="2">
        <v>100606.8</v>
      </c>
      <c r="F136" s="3"/>
      <c r="G136" s="3">
        <v>1</v>
      </c>
      <c r="H136" s="3">
        <v>1</v>
      </c>
      <c r="I136" s="2">
        <v>12</v>
      </c>
      <c r="J136">
        <v>73.65869901438073</v>
      </c>
      <c r="K136">
        <v>60</v>
      </c>
      <c r="L136" t="s">
        <v>18</v>
      </c>
      <c r="M136" t="s">
        <v>19</v>
      </c>
      <c r="N136" t="s">
        <v>20</v>
      </c>
    </row>
    <row r="137" spans="1:14">
      <c r="A137" t="s">
        <v>424</v>
      </c>
      <c r="B137" t="s">
        <v>425</v>
      </c>
      <c r="C137" t="s">
        <v>16</v>
      </c>
      <c r="D137" t="s">
        <v>17</v>
      </c>
      <c r="E137" s="2">
        <v>88078.52</v>
      </c>
      <c r="F137" s="3"/>
      <c r="G137" s="3">
        <v>1</v>
      </c>
      <c r="H137" s="3">
        <v>1</v>
      </c>
      <c r="I137" s="2">
        <v>9</v>
      </c>
      <c r="J137">
        <v>46.022918641230568</v>
      </c>
      <c r="K137">
        <v>45</v>
      </c>
      <c r="L137" t="s">
        <v>24</v>
      </c>
      <c r="M137" t="s">
        <v>19</v>
      </c>
      <c r="N137" t="s">
        <v>19</v>
      </c>
    </row>
    <row r="138" spans="1:14">
      <c r="A138" t="s">
        <v>14</v>
      </c>
      <c r="B138" t="s">
        <v>437</v>
      </c>
      <c r="C138" t="s">
        <v>16</v>
      </c>
      <c r="D138" t="s">
        <v>17</v>
      </c>
      <c r="E138" s="2">
        <v>4074.02</v>
      </c>
      <c r="F138" s="3"/>
      <c r="G138" s="3"/>
      <c r="H138" s="3"/>
      <c r="I138" s="2">
        <v>9</v>
      </c>
      <c r="J138">
        <v>44.660153852951133</v>
      </c>
      <c r="K138">
        <v>44.474965758636429</v>
      </c>
      <c r="L138" t="s">
        <v>18</v>
      </c>
      <c r="M138" t="s">
        <v>19</v>
      </c>
      <c r="N138" t="s">
        <v>20</v>
      </c>
    </row>
    <row r="139" spans="1:14">
      <c r="A139" t="s">
        <v>444</v>
      </c>
      <c r="B139" t="s">
        <v>445</v>
      </c>
      <c r="C139" t="s">
        <v>16</v>
      </c>
      <c r="D139" t="s">
        <v>17</v>
      </c>
      <c r="E139" s="2">
        <v>93432.15</v>
      </c>
      <c r="F139" s="3"/>
      <c r="G139" s="3">
        <v>0.22222222222222221</v>
      </c>
      <c r="H139" s="3">
        <v>0.72951655292102346</v>
      </c>
      <c r="I139" s="2">
        <v>9</v>
      </c>
      <c r="J139">
        <v>40.001101655051293</v>
      </c>
      <c r="K139">
        <v>30.000000000000004</v>
      </c>
      <c r="L139" t="s">
        <v>34</v>
      </c>
      <c r="M139" t="s">
        <v>19</v>
      </c>
      <c r="N139" t="s">
        <v>20</v>
      </c>
    </row>
    <row r="140" spans="1:14">
      <c r="A140" t="s">
        <v>472</v>
      </c>
      <c r="B140" t="s">
        <v>473</v>
      </c>
      <c r="C140" t="s">
        <v>16</v>
      </c>
      <c r="D140" t="s">
        <v>17</v>
      </c>
      <c r="E140" s="2">
        <v>14281.4</v>
      </c>
      <c r="F140" s="3"/>
      <c r="G140" s="3">
        <v>0.125</v>
      </c>
      <c r="H140" s="3">
        <v>0.12498774629938242</v>
      </c>
      <c r="I140" s="2">
        <v>8</v>
      </c>
      <c r="J140">
        <v>81.706573586684485</v>
      </c>
      <c r="K140">
        <v>62.085825879078328</v>
      </c>
      <c r="L140" t="s">
        <v>18</v>
      </c>
      <c r="M140" t="s">
        <v>19</v>
      </c>
      <c r="N140" t="s">
        <v>19</v>
      </c>
    </row>
    <row r="141" spans="1:14">
      <c r="A141" t="s">
        <v>484</v>
      </c>
      <c r="B141" t="s">
        <v>485</v>
      </c>
      <c r="C141" t="s">
        <v>16</v>
      </c>
      <c r="D141" t="s">
        <v>17</v>
      </c>
      <c r="E141" s="2">
        <v>161815</v>
      </c>
      <c r="F141" s="3"/>
      <c r="G141" s="3">
        <v>1</v>
      </c>
      <c r="H141" s="3">
        <v>1</v>
      </c>
      <c r="I141" s="2">
        <v>8</v>
      </c>
      <c r="J141">
        <v>39.621870654760066</v>
      </c>
      <c r="K141">
        <v>30</v>
      </c>
      <c r="L141" t="s">
        <v>39</v>
      </c>
      <c r="M141" t="s">
        <v>19</v>
      </c>
      <c r="N141" t="s">
        <v>20</v>
      </c>
    </row>
    <row r="142" spans="1:14">
      <c r="A142" t="s">
        <v>506</v>
      </c>
      <c r="B142" t="s">
        <v>507</v>
      </c>
      <c r="C142" t="s">
        <v>16</v>
      </c>
      <c r="D142" t="s">
        <v>17</v>
      </c>
      <c r="E142" s="2">
        <v>107457.84</v>
      </c>
      <c r="F142" s="3"/>
      <c r="G142" s="3">
        <v>0.8571428571428571</v>
      </c>
      <c r="H142" s="3">
        <v>0.78447110047996504</v>
      </c>
      <c r="I142" s="2">
        <v>7</v>
      </c>
      <c r="J142">
        <v>35.75139077800187</v>
      </c>
      <c r="K142">
        <v>33.82254584681769</v>
      </c>
      <c r="L142" t="s">
        <v>39</v>
      </c>
      <c r="M142" t="s">
        <v>19</v>
      </c>
      <c r="N142" t="s">
        <v>20</v>
      </c>
    </row>
    <row r="143" spans="1:14">
      <c r="A143" t="s">
        <v>516</v>
      </c>
      <c r="B143" t="s">
        <v>517</v>
      </c>
      <c r="C143" t="s">
        <v>16</v>
      </c>
      <c r="D143" t="s">
        <v>17</v>
      </c>
      <c r="E143" s="2">
        <v>139474.56</v>
      </c>
      <c r="F143" s="3"/>
      <c r="G143" s="3">
        <v>1</v>
      </c>
      <c r="H143" s="3">
        <v>1</v>
      </c>
      <c r="I143" s="2">
        <v>7</v>
      </c>
      <c r="J143">
        <v>62.977568812549038</v>
      </c>
      <c r="K143">
        <v>60.000000000000007</v>
      </c>
      <c r="L143" t="s">
        <v>34</v>
      </c>
      <c r="M143" t="s">
        <v>19</v>
      </c>
      <c r="N143" t="s">
        <v>20</v>
      </c>
    </row>
    <row r="144" spans="1:14">
      <c r="A144" t="s">
        <v>522</v>
      </c>
      <c r="B144" t="s">
        <v>523</v>
      </c>
      <c r="C144" t="s">
        <v>16</v>
      </c>
      <c r="D144" t="s">
        <v>17</v>
      </c>
      <c r="E144" s="2">
        <v>3242</v>
      </c>
      <c r="F144" s="3"/>
      <c r="G144" s="3"/>
      <c r="H144" s="3"/>
      <c r="I144" s="2">
        <v>6</v>
      </c>
      <c r="J144">
        <v>39.383096853793951</v>
      </c>
      <c r="K144">
        <v>30</v>
      </c>
      <c r="L144" t="s">
        <v>34</v>
      </c>
      <c r="M144" t="s">
        <v>19</v>
      </c>
      <c r="N144" t="s">
        <v>20</v>
      </c>
    </row>
    <row r="145" spans="1:14">
      <c r="A145" t="s">
        <v>540</v>
      </c>
      <c r="B145" t="s">
        <v>541</v>
      </c>
      <c r="C145" t="s">
        <v>16</v>
      </c>
      <c r="D145" t="s">
        <v>17</v>
      </c>
      <c r="E145" s="2">
        <v>9647.42</v>
      </c>
      <c r="F145" s="3"/>
      <c r="G145" s="3">
        <v>0.5</v>
      </c>
      <c r="H145" s="3">
        <v>0.35249009579763291</v>
      </c>
      <c r="I145" s="2">
        <v>6</v>
      </c>
      <c r="J145">
        <v>65.714418984557526</v>
      </c>
      <c r="K145">
        <v>42.850959116530639</v>
      </c>
      <c r="L145" t="s">
        <v>18</v>
      </c>
      <c r="M145" t="s">
        <v>19</v>
      </c>
      <c r="N145" t="s">
        <v>20</v>
      </c>
    </row>
    <row r="146" spans="1:14">
      <c r="A146" t="s">
        <v>560</v>
      </c>
      <c r="B146" t="s">
        <v>561</v>
      </c>
      <c r="C146" t="s">
        <v>16</v>
      </c>
      <c r="D146" t="s">
        <v>17</v>
      </c>
      <c r="E146" s="2">
        <v>618.75</v>
      </c>
      <c r="F146" s="3"/>
      <c r="G146" s="3"/>
      <c r="H146" s="3"/>
      <c r="I146" s="2">
        <v>5</v>
      </c>
      <c r="J146">
        <v>46.44444444444445</v>
      </c>
      <c r="K146">
        <v>17.555555555555557</v>
      </c>
      <c r="L146" t="s">
        <v>34</v>
      </c>
      <c r="M146" t="s">
        <v>19</v>
      </c>
      <c r="N146" t="s">
        <v>20</v>
      </c>
    </row>
    <row r="147" spans="1:14">
      <c r="A147" t="s">
        <v>592</v>
      </c>
      <c r="B147" t="s">
        <v>593</v>
      </c>
      <c r="C147" t="s">
        <v>16</v>
      </c>
      <c r="D147" t="s">
        <v>17</v>
      </c>
      <c r="E147" s="2">
        <v>15397</v>
      </c>
      <c r="F147" s="3"/>
      <c r="G147" s="3">
        <v>0.8</v>
      </c>
      <c r="H147" s="3">
        <v>0.72260830031824386</v>
      </c>
      <c r="I147" s="2">
        <v>5</v>
      </c>
      <c r="J147">
        <v>70.81840618302266</v>
      </c>
      <c r="K147">
        <v>56.568812106254462</v>
      </c>
      <c r="L147" t="s">
        <v>18</v>
      </c>
      <c r="M147" t="s">
        <v>19</v>
      </c>
      <c r="N147" t="s">
        <v>20</v>
      </c>
    </row>
    <row r="148" spans="1:14">
      <c r="A148" t="s">
        <v>639</v>
      </c>
      <c r="B148" t="s">
        <v>640</v>
      </c>
      <c r="C148" t="s">
        <v>16</v>
      </c>
      <c r="D148" t="s">
        <v>17</v>
      </c>
      <c r="E148" s="2">
        <v>36200</v>
      </c>
      <c r="F148" s="3"/>
      <c r="G148" s="3"/>
      <c r="H148" s="3"/>
      <c r="I148" s="2">
        <v>4</v>
      </c>
      <c r="J148">
        <v>65.900000000000006</v>
      </c>
      <c r="K148">
        <v>60</v>
      </c>
      <c r="L148" t="s">
        <v>18</v>
      </c>
      <c r="M148" t="s">
        <v>19</v>
      </c>
      <c r="N148" t="s">
        <v>20</v>
      </c>
    </row>
    <row r="149" spans="1:14">
      <c r="A149" t="s">
        <v>676</v>
      </c>
      <c r="B149" t="s">
        <v>677</v>
      </c>
      <c r="C149" t="s">
        <v>16</v>
      </c>
      <c r="D149" t="s">
        <v>17</v>
      </c>
      <c r="E149" s="2">
        <v>25852.62</v>
      </c>
      <c r="F149" s="3"/>
      <c r="G149" s="3">
        <v>1</v>
      </c>
      <c r="H149" s="3">
        <v>1</v>
      </c>
      <c r="I149" s="2">
        <v>3</v>
      </c>
      <c r="J149">
        <v>78.874937240403497</v>
      </c>
      <c r="K149">
        <v>48.538846352903505</v>
      </c>
      <c r="L149" t="s">
        <v>18</v>
      </c>
      <c r="M149" t="s">
        <v>19</v>
      </c>
      <c r="N149" t="s">
        <v>19</v>
      </c>
    </row>
    <row r="150" spans="1:14">
      <c r="A150" t="s">
        <v>704</v>
      </c>
      <c r="B150" t="s">
        <v>705</v>
      </c>
      <c r="C150" t="s">
        <v>16</v>
      </c>
      <c r="D150" t="s">
        <v>17</v>
      </c>
      <c r="E150" s="2">
        <v>8764.23</v>
      </c>
      <c r="F150" s="3"/>
      <c r="G150" s="3">
        <v>1</v>
      </c>
      <c r="H150" s="3">
        <v>1</v>
      </c>
      <c r="I150" s="2">
        <v>3</v>
      </c>
      <c r="J150">
        <v>76.646229046932817</v>
      </c>
      <c r="K150">
        <v>60.000000000000007</v>
      </c>
      <c r="L150" t="s">
        <v>18</v>
      </c>
      <c r="M150" t="s">
        <v>19</v>
      </c>
      <c r="N150" t="s">
        <v>20</v>
      </c>
    </row>
    <row r="151" spans="1:14">
      <c r="A151" t="s">
        <v>708</v>
      </c>
      <c r="B151" t="s">
        <v>709</v>
      </c>
      <c r="C151" t="s">
        <v>16</v>
      </c>
      <c r="D151" t="s">
        <v>17</v>
      </c>
      <c r="E151" s="2">
        <v>14000</v>
      </c>
      <c r="F151" s="3"/>
      <c r="G151" s="3">
        <v>1</v>
      </c>
      <c r="H151" s="3">
        <v>1</v>
      </c>
      <c r="I151" s="2">
        <v>3</v>
      </c>
      <c r="J151">
        <v>42.4</v>
      </c>
      <c r="K151">
        <v>36</v>
      </c>
      <c r="L151" t="s">
        <v>18</v>
      </c>
      <c r="M151" t="s">
        <v>19</v>
      </c>
      <c r="N151" t="s">
        <v>20</v>
      </c>
    </row>
    <row r="152" spans="1:14">
      <c r="A152" t="s">
        <v>722</v>
      </c>
      <c r="B152" t="s">
        <v>723</v>
      </c>
      <c r="C152" t="s">
        <v>16</v>
      </c>
      <c r="D152" t="s">
        <v>17</v>
      </c>
      <c r="E152" s="2">
        <v>3366.23</v>
      </c>
      <c r="F152" s="3"/>
      <c r="G152" s="3"/>
      <c r="H152" s="3"/>
      <c r="I152" s="2">
        <v>3</v>
      </c>
      <c r="J152">
        <v>71.572771319844449</v>
      </c>
      <c r="K152">
        <v>64.596061469358901</v>
      </c>
      <c r="L152" t="s">
        <v>18</v>
      </c>
      <c r="M152" t="s">
        <v>19</v>
      </c>
      <c r="N152" t="s">
        <v>20</v>
      </c>
    </row>
    <row r="153" spans="1:14">
      <c r="A153" t="s">
        <v>750</v>
      </c>
      <c r="B153" t="s">
        <v>751</v>
      </c>
      <c r="C153" t="s">
        <v>16</v>
      </c>
      <c r="D153" t="s">
        <v>17</v>
      </c>
      <c r="E153" s="2">
        <v>1510</v>
      </c>
      <c r="F153" s="3"/>
      <c r="G153" s="3"/>
      <c r="H153" s="3"/>
      <c r="I153" s="2">
        <v>2</v>
      </c>
      <c r="J153">
        <v>47.87417218543046</v>
      </c>
      <c r="K153">
        <v>45</v>
      </c>
      <c r="L153" t="s">
        <v>316</v>
      </c>
      <c r="M153" t="s">
        <v>19</v>
      </c>
      <c r="N153" t="s">
        <v>20</v>
      </c>
    </row>
    <row r="154" spans="1:14">
      <c r="A154" t="s">
        <v>752</v>
      </c>
      <c r="B154" t="s">
        <v>753</v>
      </c>
      <c r="C154" t="s">
        <v>16</v>
      </c>
      <c r="D154" t="s">
        <v>17</v>
      </c>
      <c r="E154" s="2">
        <v>18295.989999999998</v>
      </c>
      <c r="F154" s="3"/>
      <c r="G154" s="3"/>
      <c r="H154" s="3"/>
      <c r="I154" s="2">
        <v>2</v>
      </c>
      <c r="J154">
        <v>62.468078524310528</v>
      </c>
      <c r="K154">
        <v>45.000000000000007</v>
      </c>
      <c r="L154" t="s">
        <v>39</v>
      </c>
      <c r="M154" t="s">
        <v>19</v>
      </c>
      <c r="N154" t="s">
        <v>20</v>
      </c>
    </row>
    <row r="155" spans="1:14">
      <c r="A155" t="s">
        <v>790</v>
      </c>
      <c r="B155" t="s">
        <v>791</v>
      </c>
      <c r="C155" t="s">
        <v>16</v>
      </c>
      <c r="D155" t="s">
        <v>17</v>
      </c>
      <c r="E155" s="2">
        <v>6790.3</v>
      </c>
      <c r="F155" s="3"/>
      <c r="G155" s="3">
        <v>1</v>
      </c>
      <c r="H155" s="3">
        <v>1</v>
      </c>
      <c r="I155" s="2">
        <v>2</v>
      </c>
      <c r="J155">
        <v>63.263655508593139</v>
      </c>
      <c r="K155">
        <v>60</v>
      </c>
      <c r="L155" t="s">
        <v>18</v>
      </c>
      <c r="M155" t="s">
        <v>19</v>
      </c>
      <c r="N155" t="s">
        <v>20</v>
      </c>
    </row>
    <row r="156" spans="1:14">
      <c r="A156" t="s">
        <v>794</v>
      </c>
      <c r="B156" t="s">
        <v>795</v>
      </c>
      <c r="C156" t="s">
        <v>16</v>
      </c>
      <c r="D156" t="s">
        <v>17</v>
      </c>
      <c r="E156" s="2">
        <v>4180</v>
      </c>
      <c r="F156" s="3"/>
      <c r="G156" s="3">
        <v>0.5</v>
      </c>
      <c r="H156" s="3">
        <v>0.74641148325358853</v>
      </c>
      <c r="I156" s="2">
        <v>2</v>
      </c>
      <c r="J156">
        <v>288.17224880382776</v>
      </c>
      <c r="K156">
        <v>45</v>
      </c>
      <c r="L156" t="s">
        <v>39</v>
      </c>
      <c r="M156" t="s">
        <v>19</v>
      </c>
      <c r="N156" t="s">
        <v>20</v>
      </c>
    </row>
    <row r="157" spans="1:14">
      <c r="A157" t="s">
        <v>808</v>
      </c>
      <c r="B157" t="s">
        <v>809</v>
      </c>
      <c r="C157" t="s">
        <v>16</v>
      </c>
      <c r="D157" t="s">
        <v>17</v>
      </c>
      <c r="E157" s="2">
        <v>3417.02</v>
      </c>
      <c r="F157" s="3"/>
      <c r="G157" s="3"/>
      <c r="H157" s="3"/>
      <c r="I157" s="2">
        <v>2</v>
      </c>
      <c r="J157">
        <v>77.787946807452101</v>
      </c>
      <c r="K157">
        <v>59.999999999999993</v>
      </c>
      <c r="L157" t="s">
        <v>18</v>
      </c>
      <c r="M157" t="s">
        <v>19</v>
      </c>
      <c r="N157" t="s">
        <v>20</v>
      </c>
    </row>
    <row r="158" spans="1:14">
      <c r="A158" t="s">
        <v>814</v>
      </c>
      <c r="B158" t="s">
        <v>815</v>
      </c>
      <c r="C158" t="s">
        <v>16</v>
      </c>
      <c r="D158" t="s">
        <v>17</v>
      </c>
      <c r="E158" s="2">
        <v>285</v>
      </c>
      <c r="F158" s="3"/>
      <c r="G158" s="3"/>
      <c r="H158" s="3"/>
      <c r="I158" s="2">
        <v>2</v>
      </c>
      <c r="J158">
        <v>45.666666666666664</v>
      </c>
      <c r="K158">
        <v>14</v>
      </c>
      <c r="L158" t="s">
        <v>18</v>
      </c>
      <c r="M158" t="s">
        <v>19</v>
      </c>
      <c r="N158" t="s">
        <v>20</v>
      </c>
    </row>
    <row r="159" spans="1:14">
      <c r="A159" t="s">
        <v>816</v>
      </c>
      <c r="B159" t="s">
        <v>817</v>
      </c>
      <c r="C159" t="s">
        <v>16</v>
      </c>
      <c r="D159" t="s">
        <v>17</v>
      </c>
      <c r="E159" s="2">
        <v>1001.5</v>
      </c>
      <c r="F159" s="3"/>
      <c r="G159" s="3">
        <v>0.5</v>
      </c>
      <c r="H159" s="3">
        <v>0.54418372441337992</v>
      </c>
      <c r="I159" s="2">
        <v>2</v>
      </c>
      <c r="J159">
        <v>371.7548676984523</v>
      </c>
      <c r="K159">
        <v>14</v>
      </c>
      <c r="L159" t="s">
        <v>24</v>
      </c>
      <c r="M159" t="s">
        <v>19</v>
      </c>
      <c r="N159" t="s">
        <v>20</v>
      </c>
    </row>
    <row r="160" spans="1:14">
      <c r="A160" t="s">
        <v>846</v>
      </c>
      <c r="B160" t="s">
        <v>847</v>
      </c>
      <c r="C160" t="s">
        <v>16</v>
      </c>
      <c r="D160" t="s">
        <v>17</v>
      </c>
      <c r="E160" s="2">
        <v>114907.13</v>
      </c>
      <c r="F160" s="3"/>
      <c r="G160" s="3">
        <v>1</v>
      </c>
      <c r="H160" s="3">
        <v>1</v>
      </c>
      <c r="I160" s="2">
        <v>2</v>
      </c>
      <c r="J160">
        <v>48</v>
      </c>
      <c r="K160">
        <v>44.999999999999993</v>
      </c>
      <c r="L160" t="s">
        <v>39</v>
      </c>
      <c r="M160" t="s">
        <v>19</v>
      </c>
      <c r="N160" t="s">
        <v>19</v>
      </c>
    </row>
    <row r="161" spans="1:14">
      <c r="A161" t="s">
        <v>205</v>
      </c>
      <c r="B161" t="s">
        <v>848</v>
      </c>
      <c r="C161" t="s">
        <v>16</v>
      </c>
      <c r="D161" t="s">
        <v>17</v>
      </c>
      <c r="E161" s="2">
        <v>6075</v>
      </c>
      <c r="F161" s="3"/>
      <c r="G161" s="3">
        <v>0.5</v>
      </c>
      <c r="H161" s="3">
        <v>0.61481481481481481</v>
      </c>
      <c r="I161" s="2">
        <v>2</v>
      </c>
      <c r="J161">
        <v>37.918518518518518</v>
      </c>
      <c r="K161">
        <v>39.222222222222221</v>
      </c>
      <c r="L161" t="s">
        <v>39</v>
      </c>
      <c r="M161" t="s">
        <v>19</v>
      </c>
      <c r="N161" t="s">
        <v>20</v>
      </c>
    </row>
    <row r="162" spans="1:14">
      <c r="A162" t="s">
        <v>884</v>
      </c>
      <c r="B162" t="s">
        <v>885</v>
      </c>
      <c r="C162" t="s">
        <v>16</v>
      </c>
      <c r="D162" t="s">
        <v>17</v>
      </c>
      <c r="E162" s="2">
        <v>1696.1</v>
      </c>
      <c r="F162" s="3"/>
      <c r="G162" s="3">
        <v>0.5</v>
      </c>
      <c r="H162" s="3">
        <v>0.76410588998290196</v>
      </c>
      <c r="I162" s="2">
        <v>2</v>
      </c>
      <c r="J162">
        <v>27.887152880136785</v>
      </c>
      <c r="K162">
        <v>30</v>
      </c>
      <c r="L162" t="s">
        <v>34</v>
      </c>
      <c r="M162" t="s">
        <v>19</v>
      </c>
      <c r="N162" t="s">
        <v>20</v>
      </c>
    </row>
    <row r="163" spans="1:14">
      <c r="A163" t="s">
        <v>896</v>
      </c>
      <c r="B163" t="s">
        <v>897</v>
      </c>
      <c r="C163" t="s">
        <v>16</v>
      </c>
      <c r="D163" t="s">
        <v>17</v>
      </c>
      <c r="E163" s="2">
        <v>14877</v>
      </c>
      <c r="F163" s="3"/>
      <c r="G163" s="3"/>
      <c r="H163" s="3"/>
      <c r="I163" s="2">
        <v>2</v>
      </c>
      <c r="J163">
        <v>41.300000000000004</v>
      </c>
      <c r="K163">
        <v>13.899999999999999</v>
      </c>
      <c r="L163" t="s">
        <v>18</v>
      </c>
      <c r="M163" t="s">
        <v>19</v>
      </c>
      <c r="N163" t="s">
        <v>20</v>
      </c>
    </row>
    <row r="164" spans="1:14">
      <c r="A164" t="s">
        <v>908</v>
      </c>
      <c r="B164" t="s">
        <v>909</v>
      </c>
      <c r="C164" t="s">
        <v>16</v>
      </c>
      <c r="D164" t="s">
        <v>17</v>
      </c>
      <c r="E164" s="2">
        <v>1920</v>
      </c>
      <c r="F164" s="3"/>
      <c r="G164" s="3">
        <v>1</v>
      </c>
      <c r="H164" s="3">
        <v>1</v>
      </c>
      <c r="I164" s="2">
        <v>1</v>
      </c>
      <c r="J164">
        <v>30</v>
      </c>
      <c r="K164">
        <v>30</v>
      </c>
      <c r="L164" t="s">
        <v>34</v>
      </c>
      <c r="M164" t="s">
        <v>19</v>
      </c>
      <c r="N164" t="s">
        <v>20</v>
      </c>
    </row>
    <row r="165" spans="1:14">
      <c r="A165" t="s">
        <v>928</v>
      </c>
      <c r="B165" t="s">
        <v>929</v>
      </c>
      <c r="C165" t="s">
        <v>16</v>
      </c>
      <c r="D165" t="s">
        <v>17</v>
      </c>
      <c r="E165" s="2">
        <v>9500</v>
      </c>
      <c r="F165" s="3"/>
      <c r="G165" s="3">
        <v>1</v>
      </c>
      <c r="H165" s="3">
        <v>1</v>
      </c>
      <c r="I165" s="2">
        <v>1</v>
      </c>
      <c r="J165">
        <v>7</v>
      </c>
      <c r="K165">
        <v>0</v>
      </c>
      <c r="L165" t="s">
        <v>34</v>
      </c>
      <c r="M165" t="s">
        <v>19</v>
      </c>
      <c r="N165" t="s">
        <v>20</v>
      </c>
    </row>
    <row r="166" spans="1:14">
      <c r="A166" t="s">
        <v>982</v>
      </c>
      <c r="B166" t="s">
        <v>983</v>
      </c>
      <c r="C166" t="s">
        <v>16</v>
      </c>
      <c r="D166" t="s">
        <v>17</v>
      </c>
      <c r="E166" s="2">
        <v>1234.9000000000001</v>
      </c>
      <c r="F166" s="3"/>
      <c r="G166" s="3"/>
      <c r="H166" s="3"/>
      <c r="I166" s="2">
        <v>1</v>
      </c>
      <c r="J166">
        <v>33</v>
      </c>
      <c r="K166">
        <v>29.999999999999996</v>
      </c>
      <c r="L166" t="s">
        <v>34</v>
      </c>
      <c r="M166" t="s">
        <v>19</v>
      </c>
      <c r="N166" t="s">
        <v>20</v>
      </c>
    </row>
    <row r="167" spans="1:14">
      <c r="A167" t="s">
        <v>990</v>
      </c>
      <c r="B167" t="s">
        <v>991</v>
      </c>
      <c r="C167" t="s">
        <v>16</v>
      </c>
      <c r="D167" t="s">
        <v>17</v>
      </c>
      <c r="E167" s="2">
        <v>409</v>
      </c>
      <c r="F167" s="3"/>
      <c r="G167" s="3"/>
      <c r="H167" s="3"/>
      <c r="I167" s="2">
        <v>1</v>
      </c>
      <c r="J167">
        <v>71</v>
      </c>
      <c r="K167">
        <v>21</v>
      </c>
      <c r="L167" t="s">
        <v>39</v>
      </c>
      <c r="M167" t="s">
        <v>19</v>
      </c>
      <c r="N167" t="s">
        <v>20</v>
      </c>
    </row>
    <row r="168" spans="1:14">
      <c r="A168" t="s">
        <v>1021</v>
      </c>
      <c r="B168" t="s">
        <v>1022</v>
      </c>
      <c r="C168" t="s">
        <v>16</v>
      </c>
      <c r="D168" t="s">
        <v>17</v>
      </c>
      <c r="E168" s="2">
        <v>2546.31</v>
      </c>
      <c r="F168" s="3"/>
      <c r="G168" s="3"/>
      <c r="H168" s="3"/>
      <c r="I168" s="2">
        <v>1</v>
      </c>
      <c r="J168">
        <v>27.999999999999996</v>
      </c>
      <c r="K168">
        <v>30.000000000000004</v>
      </c>
      <c r="L168" t="s">
        <v>34</v>
      </c>
      <c r="M168" t="s">
        <v>19</v>
      </c>
      <c r="N168" t="s">
        <v>20</v>
      </c>
    </row>
    <row r="169" spans="1:14">
      <c r="A169" t="s">
        <v>1050</v>
      </c>
      <c r="B169" t="s">
        <v>1051</v>
      </c>
      <c r="C169" t="s">
        <v>16</v>
      </c>
      <c r="D169" t="s">
        <v>17</v>
      </c>
      <c r="E169" s="2">
        <v>1427.88</v>
      </c>
      <c r="F169" s="3"/>
      <c r="G169" s="3">
        <v>1</v>
      </c>
      <c r="H169" s="3">
        <v>1</v>
      </c>
      <c r="I169" s="2">
        <v>1</v>
      </c>
      <c r="J169">
        <v>40</v>
      </c>
      <c r="K169">
        <v>13.999999999999998</v>
      </c>
      <c r="L169" t="s">
        <v>316</v>
      </c>
      <c r="M169" t="s">
        <v>20</v>
      </c>
      <c r="N169" t="s">
        <v>19</v>
      </c>
    </row>
    <row r="170" spans="1:14">
      <c r="A170" t="s">
        <v>1056</v>
      </c>
      <c r="B170" t="s">
        <v>1057</v>
      </c>
      <c r="C170" t="s">
        <v>16</v>
      </c>
      <c r="D170" t="s">
        <v>17</v>
      </c>
      <c r="E170" s="2">
        <v>6504.4</v>
      </c>
      <c r="F170" s="3"/>
      <c r="G170" s="3">
        <v>1</v>
      </c>
      <c r="H170" s="3">
        <v>1</v>
      </c>
      <c r="I170" s="2">
        <v>1</v>
      </c>
      <c r="J170">
        <v>45</v>
      </c>
      <c r="K170">
        <v>60</v>
      </c>
      <c r="L170" t="s">
        <v>18</v>
      </c>
      <c r="M170" t="s">
        <v>19</v>
      </c>
      <c r="N170" t="s">
        <v>20</v>
      </c>
    </row>
    <row r="171" spans="1:14">
      <c r="A171" t="s">
        <v>1076</v>
      </c>
      <c r="B171" t="s">
        <v>1077</v>
      </c>
      <c r="C171" t="s">
        <v>16</v>
      </c>
      <c r="D171" t="s">
        <v>17</v>
      </c>
      <c r="E171" s="2">
        <v>240</v>
      </c>
      <c r="F171" s="3"/>
      <c r="G171" s="3"/>
      <c r="H171" s="3"/>
      <c r="I171" s="2">
        <v>1</v>
      </c>
      <c r="J171">
        <v>22</v>
      </c>
      <c r="K171">
        <v>14</v>
      </c>
      <c r="L171" t="s">
        <v>18</v>
      </c>
      <c r="M171" t="s">
        <v>19</v>
      </c>
      <c r="N171" t="s">
        <v>20</v>
      </c>
    </row>
    <row r="172" spans="1:14">
      <c r="A172" t="s">
        <v>1092</v>
      </c>
      <c r="B172" t="s">
        <v>1093</v>
      </c>
      <c r="C172" t="s">
        <v>16</v>
      </c>
      <c r="D172" t="s">
        <v>17</v>
      </c>
      <c r="E172" s="2">
        <v>434.4</v>
      </c>
      <c r="F172" s="3"/>
      <c r="G172" s="3">
        <v>1</v>
      </c>
      <c r="H172" s="3">
        <v>1</v>
      </c>
      <c r="I172" s="2">
        <v>1</v>
      </c>
      <c r="J172">
        <v>81.000000000000014</v>
      </c>
      <c r="K172">
        <v>30</v>
      </c>
      <c r="L172" t="s">
        <v>34</v>
      </c>
      <c r="M172" t="s">
        <v>19</v>
      </c>
      <c r="N172" t="s">
        <v>20</v>
      </c>
    </row>
    <row r="173" spans="1:14">
      <c r="A173" t="s">
        <v>1114</v>
      </c>
      <c r="B173" t="s">
        <v>1115</v>
      </c>
      <c r="C173" t="s">
        <v>16</v>
      </c>
      <c r="D173" t="s">
        <v>17</v>
      </c>
      <c r="E173" s="2">
        <v>1410</v>
      </c>
      <c r="F173" s="3"/>
      <c r="G173" s="3">
        <v>1</v>
      </c>
      <c r="H173" s="3">
        <v>1</v>
      </c>
      <c r="I173" s="2">
        <v>1</v>
      </c>
      <c r="J173">
        <v>48</v>
      </c>
      <c r="K173">
        <v>30</v>
      </c>
      <c r="L173" t="s">
        <v>34</v>
      </c>
      <c r="M173" t="s">
        <v>19</v>
      </c>
      <c r="N173" t="s">
        <v>20</v>
      </c>
    </row>
    <row r="174" spans="1:14">
      <c r="A174" t="s">
        <v>1132</v>
      </c>
      <c r="B174" t="s">
        <v>1133</v>
      </c>
      <c r="C174" t="s">
        <v>16</v>
      </c>
      <c r="D174" t="s">
        <v>17</v>
      </c>
      <c r="E174" s="2">
        <v>26939.229999999996</v>
      </c>
      <c r="F174" s="3"/>
      <c r="G174" s="3">
        <v>1</v>
      </c>
      <c r="H174" s="3">
        <v>1</v>
      </c>
      <c r="I174" s="2">
        <v>1</v>
      </c>
      <c r="J174">
        <v>27</v>
      </c>
      <c r="K174">
        <v>14.000000000000002</v>
      </c>
      <c r="L174" t="s">
        <v>39</v>
      </c>
      <c r="M174" t="s">
        <v>19</v>
      </c>
      <c r="N174" t="s">
        <v>20</v>
      </c>
    </row>
    <row r="175" spans="1:14">
      <c r="A175" t="s">
        <v>1134</v>
      </c>
      <c r="B175" t="s">
        <v>1135</v>
      </c>
      <c r="C175" t="s">
        <v>16</v>
      </c>
      <c r="D175" t="s">
        <v>17</v>
      </c>
      <c r="E175" s="2">
        <v>1180</v>
      </c>
      <c r="F175" s="3"/>
      <c r="G175" s="3"/>
      <c r="H175" s="3"/>
      <c r="I175" s="2">
        <v>1</v>
      </c>
      <c r="J175">
        <v>51</v>
      </c>
      <c r="K175">
        <v>30</v>
      </c>
      <c r="L175" t="s">
        <v>34</v>
      </c>
      <c r="M175" t="s">
        <v>19</v>
      </c>
      <c r="N175" t="s">
        <v>20</v>
      </c>
    </row>
    <row r="176" spans="1:14">
      <c r="A176" t="s">
        <v>1190</v>
      </c>
      <c r="B176" t="s">
        <v>1191</v>
      </c>
      <c r="C176" t="s">
        <v>16</v>
      </c>
      <c r="D176" t="s">
        <v>17</v>
      </c>
      <c r="E176" s="2">
        <v>31097.25</v>
      </c>
      <c r="F176" s="3"/>
      <c r="G176" s="3">
        <v>1</v>
      </c>
      <c r="H176" s="3">
        <v>1</v>
      </c>
      <c r="I176" s="2">
        <v>1</v>
      </c>
      <c r="J176">
        <v>118</v>
      </c>
      <c r="K176">
        <v>60</v>
      </c>
      <c r="L176" t="s">
        <v>18</v>
      </c>
      <c r="M176" t="s">
        <v>19</v>
      </c>
      <c r="N176" t="s">
        <v>20</v>
      </c>
    </row>
    <row r="177" spans="1:14">
      <c r="A177" t="s">
        <v>21</v>
      </c>
      <c r="B177" t="s">
        <v>22</v>
      </c>
      <c r="C177" t="s">
        <v>16</v>
      </c>
      <c r="D177" t="s">
        <v>23</v>
      </c>
      <c r="E177" s="2">
        <v>1139926.0900000005</v>
      </c>
      <c r="F177" s="3"/>
      <c r="G177" s="3"/>
      <c r="H177" s="3"/>
      <c r="I177" s="2">
        <v>422</v>
      </c>
      <c r="J177">
        <v>39.310765938320181</v>
      </c>
      <c r="K177">
        <v>13.978082204453072</v>
      </c>
      <c r="L177" t="s">
        <v>24</v>
      </c>
      <c r="M177" t="s">
        <v>20</v>
      </c>
      <c r="N177" t="s">
        <v>20</v>
      </c>
    </row>
    <row r="178" spans="1:14">
      <c r="A178" t="s">
        <v>51</v>
      </c>
      <c r="B178" t="s">
        <v>52</v>
      </c>
      <c r="C178" t="s">
        <v>16</v>
      </c>
      <c r="D178" t="s">
        <v>23</v>
      </c>
      <c r="E178" s="2">
        <v>26236.869999999995</v>
      </c>
      <c r="F178" s="3"/>
      <c r="G178" s="3"/>
      <c r="H178" s="3"/>
      <c r="I178" s="2">
        <v>184</v>
      </c>
      <c r="J178">
        <v>70.5788809383006</v>
      </c>
      <c r="K178">
        <v>7.4007586628558242</v>
      </c>
      <c r="L178" t="s">
        <v>53</v>
      </c>
      <c r="M178" t="s">
        <v>19</v>
      </c>
      <c r="N178" t="s">
        <v>20</v>
      </c>
    </row>
    <row r="179" spans="1:14">
      <c r="A179" t="s">
        <v>83</v>
      </c>
      <c r="B179" t="s">
        <v>84</v>
      </c>
      <c r="C179" t="s">
        <v>16</v>
      </c>
      <c r="D179" t="s">
        <v>23</v>
      </c>
      <c r="E179" s="2">
        <v>711573.75999999989</v>
      </c>
      <c r="F179" s="3"/>
      <c r="G179" s="3"/>
      <c r="H179" s="3"/>
      <c r="I179" s="2">
        <v>84</v>
      </c>
      <c r="J179">
        <v>56.616287846252249</v>
      </c>
      <c r="K179">
        <v>54.666210148052677</v>
      </c>
      <c r="L179" t="s">
        <v>34</v>
      </c>
      <c r="M179" t="s">
        <v>19</v>
      </c>
      <c r="N179" t="s">
        <v>20</v>
      </c>
    </row>
    <row r="180" spans="1:14">
      <c r="A180" t="s">
        <v>90</v>
      </c>
      <c r="B180" t="s">
        <v>91</v>
      </c>
      <c r="C180" t="s">
        <v>16</v>
      </c>
      <c r="D180" t="s">
        <v>23</v>
      </c>
      <c r="E180" s="2">
        <v>984321</v>
      </c>
      <c r="F180" s="3"/>
      <c r="G180" s="3"/>
      <c r="H180" s="3"/>
      <c r="I180" s="2">
        <v>72</v>
      </c>
      <c r="J180">
        <v>43.507890312205063</v>
      </c>
      <c r="K180">
        <v>40.979209221382042</v>
      </c>
      <c r="L180" t="s">
        <v>39</v>
      </c>
      <c r="M180" t="s">
        <v>19</v>
      </c>
      <c r="N180" t="s">
        <v>20</v>
      </c>
    </row>
    <row r="181" spans="1:14">
      <c r="A181" t="s">
        <v>97</v>
      </c>
      <c r="B181" t="s">
        <v>98</v>
      </c>
      <c r="C181" t="s">
        <v>16</v>
      </c>
      <c r="D181" t="s">
        <v>23</v>
      </c>
      <c r="E181" s="2">
        <v>1915873.58</v>
      </c>
      <c r="F181" s="3"/>
      <c r="G181" s="3"/>
      <c r="H181" s="3"/>
      <c r="I181" s="2">
        <v>66</v>
      </c>
      <c r="J181">
        <v>56.816809739607145</v>
      </c>
      <c r="K181">
        <v>54.349718001748315</v>
      </c>
      <c r="L181" t="s">
        <v>18</v>
      </c>
      <c r="M181" t="s">
        <v>19</v>
      </c>
      <c r="N181" t="s">
        <v>20</v>
      </c>
    </row>
    <row r="182" spans="1:14">
      <c r="A182" t="s">
        <v>99</v>
      </c>
      <c r="B182" t="s">
        <v>100</v>
      </c>
      <c r="C182" t="s">
        <v>16</v>
      </c>
      <c r="D182" t="s">
        <v>23</v>
      </c>
      <c r="E182" s="2">
        <v>255766.34999999998</v>
      </c>
      <c r="F182" s="3"/>
      <c r="G182" s="3"/>
      <c r="H182" s="3"/>
      <c r="I182" s="2">
        <v>65</v>
      </c>
      <c r="J182">
        <v>40.44553827791011</v>
      </c>
      <c r="K182">
        <v>28.747582183982885</v>
      </c>
      <c r="L182" t="s">
        <v>18</v>
      </c>
      <c r="M182" t="s">
        <v>19</v>
      </c>
      <c r="N182" t="s">
        <v>20</v>
      </c>
    </row>
    <row r="183" spans="1:14">
      <c r="A183" t="s">
        <v>107</v>
      </c>
      <c r="B183" t="s">
        <v>108</v>
      </c>
      <c r="C183" t="s">
        <v>16</v>
      </c>
      <c r="D183" t="s">
        <v>23</v>
      </c>
      <c r="E183" s="2">
        <v>34168.43</v>
      </c>
      <c r="F183" s="3"/>
      <c r="G183" s="3">
        <v>1.7857142857142856E-2</v>
      </c>
      <c r="H183" s="3">
        <v>0.58738431938488245</v>
      </c>
      <c r="I183" s="2">
        <v>56</v>
      </c>
      <c r="J183">
        <v>34.914911712030971</v>
      </c>
      <c r="K183">
        <v>29.487419500392008</v>
      </c>
      <c r="L183" t="s">
        <v>34</v>
      </c>
      <c r="M183" t="s">
        <v>19</v>
      </c>
      <c r="N183" t="s">
        <v>20</v>
      </c>
    </row>
    <row r="184" spans="1:14">
      <c r="A184" t="s">
        <v>125</v>
      </c>
      <c r="B184" t="s">
        <v>126</v>
      </c>
      <c r="C184" t="s">
        <v>16</v>
      </c>
      <c r="D184" t="s">
        <v>23</v>
      </c>
      <c r="E184" s="2">
        <v>605687.09999999986</v>
      </c>
      <c r="F184" s="3"/>
      <c r="G184" s="3">
        <v>0.71111111111111114</v>
      </c>
      <c r="H184" s="3">
        <v>0.69274590791185775</v>
      </c>
      <c r="I184" s="2">
        <v>45</v>
      </c>
      <c r="J184">
        <v>32.984905126756047</v>
      </c>
      <c r="K184">
        <v>30.000000000000007</v>
      </c>
      <c r="L184" t="s">
        <v>34</v>
      </c>
      <c r="M184" t="s">
        <v>19</v>
      </c>
      <c r="N184" t="s">
        <v>20</v>
      </c>
    </row>
    <row r="185" spans="1:14">
      <c r="A185" t="s">
        <v>131</v>
      </c>
      <c r="B185" t="s">
        <v>132</v>
      </c>
      <c r="C185" t="s">
        <v>16</v>
      </c>
      <c r="D185" t="s">
        <v>23</v>
      </c>
      <c r="E185" s="2">
        <v>40360.520000000004</v>
      </c>
      <c r="F185" s="3"/>
      <c r="G185" s="3"/>
      <c r="H185" s="3"/>
      <c r="I185" s="2">
        <v>42</v>
      </c>
      <c r="J185">
        <v>67.382114006459773</v>
      </c>
      <c r="K185">
        <v>31.546065313330946</v>
      </c>
      <c r="L185" t="s">
        <v>18</v>
      </c>
      <c r="M185" t="s">
        <v>19</v>
      </c>
      <c r="N185" t="s">
        <v>20</v>
      </c>
    </row>
    <row r="186" spans="1:14">
      <c r="A186" t="s">
        <v>147</v>
      </c>
      <c r="B186" t="s">
        <v>148</v>
      </c>
      <c r="C186" t="s">
        <v>16</v>
      </c>
      <c r="D186" t="s">
        <v>23</v>
      </c>
      <c r="E186" s="2">
        <v>69170</v>
      </c>
      <c r="F186" s="3"/>
      <c r="G186" s="3"/>
      <c r="H186" s="3"/>
      <c r="I186" s="2">
        <v>39</v>
      </c>
      <c r="J186">
        <v>31.938521035130837</v>
      </c>
      <c r="K186">
        <v>30</v>
      </c>
      <c r="L186" t="s">
        <v>34</v>
      </c>
      <c r="M186" t="s">
        <v>20</v>
      </c>
      <c r="N186" t="s">
        <v>19</v>
      </c>
    </row>
    <row r="187" spans="1:14">
      <c r="A187" t="s">
        <v>151</v>
      </c>
      <c r="B187" t="s">
        <v>152</v>
      </c>
      <c r="C187" t="s">
        <v>16</v>
      </c>
      <c r="D187" t="s">
        <v>23</v>
      </c>
      <c r="E187" s="2">
        <v>1114989.2300000002</v>
      </c>
      <c r="F187" s="3"/>
      <c r="G187" s="3"/>
      <c r="H187" s="3"/>
      <c r="I187" s="2">
        <v>37</v>
      </c>
      <c r="J187">
        <v>31.591108319494708</v>
      </c>
      <c r="K187">
        <v>28.719136183943217</v>
      </c>
      <c r="L187" t="s">
        <v>153</v>
      </c>
      <c r="M187" t="s">
        <v>19</v>
      </c>
      <c r="N187" t="s">
        <v>20</v>
      </c>
    </row>
    <row r="188" spans="1:14">
      <c r="A188" t="s">
        <v>186</v>
      </c>
      <c r="B188" t="s">
        <v>187</v>
      </c>
      <c r="C188" t="s">
        <v>16</v>
      </c>
      <c r="D188" t="s">
        <v>23</v>
      </c>
      <c r="E188" s="2">
        <v>41649.869999999995</v>
      </c>
      <c r="F188" s="3"/>
      <c r="G188" s="3">
        <v>0.53846153846153844</v>
      </c>
      <c r="H188" s="3">
        <v>0.5323329940765722</v>
      </c>
      <c r="I188" s="2">
        <v>26</v>
      </c>
      <c r="J188">
        <v>35.075790872816654</v>
      </c>
      <c r="K188">
        <v>30.000000000000007</v>
      </c>
      <c r="L188" t="s">
        <v>34</v>
      </c>
      <c r="M188" t="s">
        <v>20</v>
      </c>
      <c r="N188" t="s">
        <v>20</v>
      </c>
    </row>
    <row r="189" spans="1:14">
      <c r="A189" t="s">
        <v>188</v>
      </c>
      <c r="B189" t="s">
        <v>189</v>
      </c>
      <c r="C189" t="s">
        <v>16</v>
      </c>
      <c r="D189" t="s">
        <v>23</v>
      </c>
      <c r="E189" s="2">
        <v>89592.639999999999</v>
      </c>
      <c r="F189" s="3"/>
      <c r="G189" s="3">
        <v>0.65384615384615385</v>
      </c>
      <c r="H189" s="3">
        <v>0.98576099554606278</v>
      </c>
      <c r="I189" s="2">
        <v>26</v>
      </c>
      <c r="J189">
        <v>48.437821008511413</v>
      </c>
      <c r="K189">
        <v>36.72804317408216</v>
      </c>
      <c r="L189" t="s">
        <v>53</v>
      </c>
      <c r="M189" t="s">
        <v>20</v>
      </c>
      <c r="N189" t="s">
        <v>20</v>
      </c>
    </row>
    <row r="190" spans="1:14">
      <c r="A190" t="s">
        <v>195</v>
      </c>
      <c r="B190" t="s">
        <v>196</v>
      </c>
      <c r="C190" t="s">
        <v>16</v>
      </c>
      <c r="D190" t="s">
        <v>23</v>
      </c>
      <c r="E190" s="2">
        <v>95562.369999999981</v>
      </c>
      <c r="F190" s="3"/>
      <c r="G190" s="3"/>
      <c r="H190" s="3"/>
      <c r="I190" s="2">
        <v>24</v>
      </c>
      <c r="J190">
        <v>40.31222886163247</v>
      </c>
      <c r="K190">
        <v>36.769098547890756</v>
      </c>
      <c r="L190" t="s">
        <v>18</v>
      </c>
      <c r="M190" t="s">
        <v>20</v>
      </c>
      <c r="N190" t="s">
        <v>20</v>
      </c>
    </row>
    <row r="191" spans="1:14">
      <c r="A191" t="s">
        <v>197</v>
      </c>
      <c r="B191" t="s">
        <v>198</v>
      </c>
      <c r="C191" t="s">
        <v>16</v>
      </c>
      <c r="D191" t="s">
        <v>23</v>
      </c>
      <c r="E191" s="2">
        <v>130896.5</v>
      </c>
      <c r="F191" s="3"/>
      <c r="G191" s="3"/>
      <c r="H191" s="3"/>
      <c r="I191" s="2">
        <v>24</v>
      </c>
      <c r="J191">
        <v>22.096667978135397</v>
      </c>
      <c r="K191">
        <v>14</v>
      </c>
      <c r="L191" t="s">
        <v>39</v>
      </c>
      <c r="M191" t="s">
        <v>20</v>
      </c>
      <c r="N191" t="s">
        <v>19</v>
      </c>
    </row>
    <row r="192" spans="1:14">
      <c r="A192" t="s">
        <v>211</v>
      </c>
      <c r="B192" t="s">
        <v>212</v>
      </c>
      <c r="C192" t="s">
        <v>16</v>
      </c>
      <c r="D192" t="s">
        <v>23</v>
      </c>
      <c r="E192" s="2">
        <v>1359869.0100000002</v>
      </c>
      <c r="F192" s="3"/>
      <c r="G192" s="3"/>
      <c r="H192" s="3"/>
      <c r="I192" s="2">
        <v>22</v>
      </c>
      <c r="J192">
        <v>44.996448222585109</v>
      </c>
      <c r="K192">
        <v>44.11317186633481</v>
      </c>
      <c r="L192" t="s">
        <v>39</v>
      </c>
      <c r="M192" t="s">
        <v>19</v>
      </c>
      <c r="N192" t="s">
        <v>20</v>
      </c>
    </row>
    <row r="193" spans="1:14">
      <c r="A193" t="s">
        <v>215</v>
      </c>
      <c r="B193" t="s">
        <v>216</v>
      </c>
      <c r="C193" t="s">
        <v>16</v>
      </c>
      <c r="D193" t="s">
        <v>23</v>
      </c>
      <c r="E193" s="2">
        <v>66900</v>
      </c>
      <c r="F193" s="3"/>
      <c r="G193" s="3"/>
      <c r="H193" s="3"/>
      <c r="I193" s="2">
        <v>22</v>
      </c>
      <c r="J193">
        <v>63.159192825112108</v>
      </c>
      <c r="K193">
        <v>55.461883408071749</v>
      </c>
      <c r="L193" t="s">
        <v>39</v>
      </c>
      <c r="M193" t="s">
        <v>19</v>
      </c>
      <c r="N193" t="s">
        <v>20</v>
      </c>
    </row>
    <row r="194" spans="1:14">
      <c r="A194" t="s">
        <v>219</v>
      </c>
      <c r="B194" t="s">
        <v>220</v>
      </c>
      <c r="C194" t="s">
        <v>16</v>
      </c>
      <c r="D194" t="s">
        <v>23</v>
      </c>
      <c r="E194" s="2">
        <v>129006.66</v>
      </c>
      <c r="F194" s="3"/>
      <c r="G194" s="3">
        <v>0.90476190476190477</v>
      </c>
      <c r="H194" s="3">
        <v>0.89457908607199044</v>
      </c>
      <c r="I194" s="2">
        <v>21</v>
      </c>
      <c r="J194">
        <v>46.131440965916021</v>
      </c>
      <c r="K194">
        <v>45</v>
      </c>
      <c r="L194" t="s">
        <v>39</v>
      </c>
      <c r="M194" t="s">
        <v>19</v>
      </c>
      <c r="N194" t="s">
        <v>20</v>
      </c>
    </row>
    <row r="195" spans="1:14">
      <c r="A195" t="s">
        <v>231</v>
      </c>
      <c r="B195" t="s">
        <v>232</v>
      </c>
      <c r="C195" t="s">
        <v>16</v>
      </c>
      <c r="D195" t="s">
        <v>23</v>
      </c>
      <c r="E195" s="2">
        <v>205741.39</v>
      </c>
      <c r="F195" s="3"/>
      <c r="G195" s="3"/>
      <c r="H195" s="3"/>
      <c r="I195" s="2">
        <v>20</v>
      </c>
      <c r="J195">
        <v>58.784573328664905</v>
      </c>
      <c r="K195">
        <v>30</v>
      </c>
      <c r="L195" t="s">
        <v>34</v>
      </c>
      <c r="M195" t="s">
        <v>19</v>
      </c>
      <c r="N195" t="s">
        <v>20</v>
      </c>
    </row>
    <row r="196" spans="1:14">
      <c r="A196" t="s">
        <v>248</v>
      </c>
      <c r="B196" t="s">
        <v>249</v>
      </c>
      <c r="C196" t="s">
        <v>16</v>
      </c>
      <c r="D196" t="s">
        <v>23</v>
      </c>
      <c r="E196" s="2">
        <v>48229.94</v>
      </c>
      <c r="F196" s="3"/>
      <c r="G196" s="3">
        <v>0.125</v>
      </c>
      <c r="H196" s="3">
        <v>0.2044350459486369</v>
      </c>
      <c r="I196" s="2">
        <v>16</v>
      </c>
      <c r="J196">
        <v>48.566813684611681</v>
      </c>
      <c r="K196">
        <v>44.988477074613812</v>
      </c>
      <c r="L196" t="s">
        <v>39</v>
      </c>
      <c r="M196" t="s">
        <v>20</v>
      </c>
      <c r="N196" t="s">
        <v>20</v>
      </c>
    </row>
    <row r="197" spans="1:14">
      <c r="A197" t="s">
        <v>250</v>
      </c>
      <c r="B197" t="s">
        <v>251</v>
      </c>
      <c r="C197" t="s">
        <v>16</v>
      </c>
      <c r="D197" t="s">
        <v>23</v>
      </c>
      <c r="E197" s="2">
        <v>47562.720000000001</v>
      </c>
      <c r="F197" s="3"/>
      <c r="G197" s="3"/>
      <c r="H197" s="3"/>
      <c r="I197" s="2">
        <v>16</v>
      </c>
      <c r="J197">
        <v>57.193691403687588</v>
      </c>
      <c r="K197">
        <v>30</v>
      </c>
      <c r="L197" t="s">
        <v>34</v>
      </c>
      <c r="M197" t="s">
        <v>19</v>
      </c>
      <c r="N197" t="s">
        <v>20</v>
      </c>
    </row>
    <row r="198" spans="1:14">
      <c r="A198" t="s">
        <v>256</v>
      </c>
      <c r="B198" t="s">
        <v>257</v>
      </c>
      <c r="C198" t="s">
        <v>16</v>
      </c>
      <c r="D198" t="s">
        <v>23</v>
      </c>
      <c r="E198" s="2">
        <v>67330</v>
      </c>
      <c r="F198" s="3"/>
      <c r="G198" s="3"/>
      <c r="H198" s="3"/>
      <c r="I198" s="2">
        <v>15</v>
      </c>
      <c r="J198">
        <v>43.826427613467921</v>
      </c>
      <c r="K198">
        <v>35.594691889602601</v>
      </c>
      <c r="L198" t="s">
        <v>18</v>
      </c>
      <c r="M198" t="s">
        <v>19</v>
      </c>
      <c r="N198" t="s">
        <v>19</v>
      </c>
    </row>
    <row r="199" spans="1:14">
      <c r="A199" t="s">
        <v>258</v>
      </c>
      <c r="B199" t="s">
        <v>259</v>
      </c>
      <c r="C199" t="s">
        <v>16</v>
      </c>
      <c r="D199" t="s">
        <v>23</v>
      </c>
      <c r="E199" s="2">
        <v>144300.85999999999</v>
      </c>
      <c r="F199" s="3"/>
      <c r="G199" s="3"/>
      <c r="H199" s="3"/>
      <c r="I199" s="2">
        <v>15</v>
      </c>
      <c r="J199">
        <v>63.308997534734026</v>
      </c>
      <c r="K199">
        <v>42.03290874357922</v>
      </c>
      <c r="L199" t="s">
        <v>18</v>
      </c>
      <c r="M199" t="s">
        <v>19</v>
      </c>
      <c r="N199" t="s">
        <v>20</v>
      </c>
    </row>
    <row r="200" spans="1:14">
      <c r="A200" t="s">
        <v>260</v>
      </c>
      <c r="B200" t="s">
        <v>261</v>
      </c>
      <c r="C200" t="s">
        <v>16</v>
      </c>
      <c r="D200" t="s">
        <v>23</v>
      </c>
      <c r="E200" s="2">
        <v>106484.9</v>
      </c>
      <c r="F200" s="3"/>
      <c r="G200" s="3">
        <v>1</v>
      </c>
      <c r="H200" s="3">
        <v>1</v>
      </c>
      <c r="I200" s="2">
        <v>15</v>
      </c>
      <c r="J200">
        <v>45.148436538889548</v>
      </c>
      <c r="K200">
        <v>45</v>
      </c>
      <c r="L200" t="s">
        <v>39</v>
      </c>
      <c r="M200" t="s">
        <v>19</v>
      </c>
      <c r="N200" t="s">
        <v>20</v>
      </c>
    </row>
    <row r="201" spans="1:14">
      <c r="A201" t="s">
        <v>274</v>
      </c>
      <c r="B201" t="s">
        <v>275</v>
      </c>
      <c r="C201" t="s">
        <v>16</v>
      </c>
      <c r="D201" t="s">
        <v>23</v>
      </c>
      <c r="E201" s="2">
        <v>118213.66</v>
      </c>
      <c r="F201" s="3"/>
      <c r="G201" s="3">
        <v>0.6428571428571429</v>
      </c>
      <c r="H201" s="3">
        <v>0.64393971052076382</v>
      </c>
      <c r="I201" s="2">
        <v>14</v>
      </c>
      <c r="J201">
        <v>32.144242382817687</v>
      </c>
      <c r="K201">
        <v>29.999999999999996</v>
      </c>
      <c r="L201" t="s">
        <v>34</v>
      </c>
      <c r="M201" t="s">
        <v>19</v>
      </c>
      <c r="N201" t="s">
        <v>20</v>
      </c>
    </row>
    <row r="202" spans="1:14">
      <c r="A202" t="s">
        <v>278</v>
      </c>
      <c r="B202" t="s">
        <v>279</v>
      </c>
      <c r="C202" t="s">
        <v>16</v>
      </c>
      <c r="D202" t="s">
        <v>23</v>
      </c>
      <c r="E202" s="2">
        <v>157288.22999999998</v>
      </c>
      <c r="F202" s="3"/>
      <c r="G202" s="3"/>
      <c r="H202" s="3"/>
      <c r="I202" s="2">
        <v>14</v>
      </c>
      <c r="J202">
        <v>46.056339498511754</v>
      </c>
      <c r="K202">
        <v>45</v>
      </c>
      <c r="L202" t="s">
        <v>39</v>
      </c>
      <c r="M202" t="s">
        <v>19</v>
      </c>
      <c r="N202" t="s">
        <v>20</v>
      </c>
    </row>
    <row r="203" spans="1:14">
      <c r="A203" t="s">
        <v>300</v>
      </c>
      <c r="B203" t="s">
        <v>301</v>
      </c>
      <c r="C203" t="s">
        <v>16</v>
      </c>
      <c r="D203" t="s">
        <v>23</v>
      </c>
      <c r="E203" s="2">
        <v>86643.390000000014</v>
      </c>
      <c r="F203" s="3"/>
      <c r="G203" s="3"/>
      <c r="H203" s="3"/>
      <c r="I203" s="2">
        <v>13</v>
      </c>
      <c r="J203">
        <v>31.583894397483753</v>
      </c>
      <c r="K203">
        <v>30.549522589086131</v>
      </c>
      <c r="L203" t="s">
        <v>34</v>
      </c>
      <c r="M203" t="s">
        <v>19</v>
      </c>
      <c r="N203" t="s">
        <v>20</v>
      </c>
    </row>
    <row r="204" spans="1:14">
      <c r="A204" t="s">
        <v>321</v>
      </c>
      <c r="B204" t="s">
        <v>322</v>
      </c>
      <c r="C204" t="s">
        <v>16</v>
      </c>
      <c r="D204" t="s">
        <v>23</v>
      </c>
      <c r="E204" s="2">
        <v>55263.58</v>
      </c>
      <c r="F204" s="3"/>
      <c r="G204" s="3"/>
      <c r="H204" s="3"/>
      <c r="I204" s="2">
        <v>12</v>
      </c>
      <c r="J204">
        <v>35.759622159838365</v>
      </c>
      <c r="K204">
        <v>29.420956803739458</v>
      </c>
      <c r="L204" t="s">
        <v>24</v>
      </c>
      <c r="M204" t="s">
        <v>20</v>
      </c>
      <c r="N204" t="s">
        <v>19</v>
      </c>
    </row>
    <row r="205" spans="1:14">
      <c r="A205" t="s">
        <v>331</v>
      </c>
      <c r="B205" t="s">
        <v>332</v>
      </c>
      <c r="C205" t="s">
        <v>16</v>
      </c>
      <c r="D205" t="s">
        <v>23</v>
      </c>
      <c r="E205" s="2">
        <v>77961.349999999991</v>
      </c>
      <c r="F205" s="3"/>
      <c r="G205" s="3">
        <v>1</v>
      </c>
      <c r="H205" s="3">
        <v>1</v>
      </c>
      <c r="I205" s="2">
        <v>12</v>
      </c>
      <c r="J205">
        <v>44.696184583771327</v>
      </c>
      <c r="K205">
        <v>45.000000000000007</v>
      </c>
      <c r="L205" t="s">
        <v>18</v>
      </c>
      <c r="M205" t="s">
        <v>19</v>
      </c>
      <c r="N205" t="s">
        <v>20</v>
      </c>
    </row>
    <row r="206" spans="1:14">
      <c r="A206" t="s">
        <v>335</v>
      </c>
      <c r="B206" t="s">
        <v>336</v>
      </c>
      <c r="C206" t="s">
        <v>16</v>
      </c>
      <c r="D206" t="s">
        <v>23</v>
      </c>
      <c r="E206" s="2">
        <v>227200</v>
      </c>
      <c r="F206" s="3"/>
      <c r="G206" s="3"/>
      <c r="H206" s="3"/>
      <c r="I206" s="2">
        <v>12</v>
      </c>
      <c r="J206">
        <v>60.58450704225352</v>
      </c>
      <c r="K206">
        <v>60.091549295774648</v>
      </c>
      <c r="L206" t="s">
        <v>18</v>
      </c>
      <c r="M206" t="s">
        <v>19</v>
      </c>
      <c r="N206" t="s">
        <v>20</v>
      </c>
    </row>
    <row r="207" spans="1:14">
      <c r="A207" t="s">
        <v>337</v>
      </c>
      <c r="B207" t="s">
        <v>338</v>
      </c>
      <c r="C207" t="s">
        <v>16</v>
      </c>
      <c r="D207" t="s">
        <v>23</v>
      </c>
      <c r="E207" s="2">
        <v>26087.119999999974</v>
      </c>
      <c r="F207" s="3"/>
      <c r="G207" s="3"/>
      <c r="H207" s="3"/>
      <c r="I207" s="2">
        <v>12</v>
      </c>
      <c r="J207">
        <v>30.82170281732904</v>
      </c>
      <c r="K207">
        <v>30.000000000000018</v>
      </c>
      <c r="L207" t="s">
        <v>39</v>
      </c>
      <c r="M207" t="s">
        <v>20</v>
      </c>
      <c r="N207" t="s">
        <v>20</v>
      </c>
    </row>
    <row r="208" spans="1:14">
      <c r="A208" t="s">
        <v>343</v>
      </c>
      <c r="B208" t="s">
        <v>344</v>
      </c>
      <c r="C208" t="s">
        <v>16</v>
      </c>
      <c r="D208" t="s">
        <v>23</v>
      </c>
      <c r="E208" s="2">
        <v>40580.03</v>
      </c>
      <c r="F208" s="3"/>
      <c r="G208" s="3"/>
      <c r="H208" s="3"/>
      <c r="I208" s="2">
        <v>12</v>
      </c>
      <c r="J208">
        <v>44.348123202471754</v>
      </c>
      <c r="K208">
        <v>43.059212868989995</v>
      </c>
      <c r="L208" t="s">
        <v>39</v>
      </c>
      <c r="M208" t="s">
        <v>20</v>
      </c>
      <c r="N208" t="s">
        <v>19</v>
      </c>
    </row>
    <row r="209" spans="1:14">
      <c r="A209" t="s">
        <v>370</v>
      </c>
      <c r="B209" t="s">
        <v>371</v>
      </c>
      <c r="C209" t="s">
        <v>16</v>
      </c>
      <c r="D209" t="s">
        <v>23</v>
      </c>
      <c r="E209" s="2">
        <v>113290</v>
      </c>
      <c r="F209" s="3"/>
      <c r="G209" s="3"/>
      <c r="H209" s="3"/>
      <c r="I209" s="2">
        <v>11</v>
      </c>
      <c r="J209">
        <v>64.660395886662542</v>
      </c>
      <c r="K209">
        <v>60</v>
      </c>
      <c r="L209" t="s">
        <v>39</v>
      </c>
      <c r="M209" t="s">
        <v>19</v>
      </c>
      <c r="N209" t="s">
        <v>20</v>
      </c>
    </row>
    <row r="210" spans="1:14">
      <c r="A210" t="s">
        <v>374</v>
      </c>
      <c r="B210" t="s">
        <v>375</v>
      </c>
      <c r="C210" t="s">
        <v>16</v>
      </c>
      <c r="D210" t="s">
        <v>23</v>
      </c>
      <c r="E210" s="2">
        <v>39366</v>
      </c>
      <c r="F210" s="3"/>
      <c r="G210" s="3"/>
      <c r="H210" s="3"/>
      <c r="I210" s="2">
        <v>11</v>
      </c>
      <c r="J210">
        <v>60.628562719097701</v>
      </c>
      <c r="K210">
        <v>60.507239750038103</v>
      </c>
      <c r="L210" t="s">
        <v>39</v>
      </c>
      <c r="M210" t="s">
        <v>20</v>
      </c>
      <c r="N210" t="s">
        <v>19</v>
      </c>
    </row>
    <row r="211" spans="1:14">
      <c r="A211" t="s">
        <v>390</v>
      </c>
      <c r="B211" t="s">
        <v>391</v>
      </c>
      <c r="C211" t="s">
        <v>16</v>
      </c>
      <c r="D211" t="s">
        <v>23</v>
      </c>
      <c r="E211" s="2">
        <v>3922.2900000000004</v>
      </c>
      <c r="F211" s="3"/>
      <c r="G211" s="3"/>
      <c r="H211" s="3"/>
      <c r="I211" s="2">
        <v>11</v>
      </c>
      <c r="J211">
        <v>60.94073046665293</v>
      </c>
      <c r="K211">
        <v>48.873962306925726</v>
      </c>
      <c r="L211" t="s">
        <v>18</v>
      </c>
      <c r="M211" t="s">
        <v>19</v>
      </c>
      <c r="N211" t="s">
        <v>20</v>
      </c>
    </row>
    <row r="212" spans="1:14">
      <c r="A212" t="s">
        <v>414</v>
      </c>
      <c r="B212" t="s">
        <v>415</v>
      </c>
      <c r="C212" t="s">
        <v>16</v>
      </c>
      <c r="D212" t="s">
        <v>23</v>
      </c>
      <c r="E212" s="2">
        <v>522745</v>
      </c>
      <c r="F212" s="3"/>
      <c r="G212" s="3"/>
      <c r="H212" s="3"/>
      <c r="I212" s="2">
        <v>10</v>
      </c>
      <c r="J212">
        <v>80.188826291977918</v>
      </c>
      <c r="K212">
        <v>54.445188380567963</v>
      </c>
      <c r="L212" t="s">
        <v>18</v>
      </c>
      <c r="M212" t="s">
        <v>19</v>
      </c>
      <c r="N212" t="s">
        <v>20</v>
      </c>
    </row>
    <row r="213" spans="1:14">
      <c r="A213" t="s">
        <v>418</v>
      </c>
      <c r="B213" t="s">
        <v>419</v>
      </c>
      <c r="C213" t="s">
        <v>16</v>
      </c>
      <c r="D213" t="s">
        <v>23</v>
      </c>
      <c r="E213" s="2">
        <v>361.69</v>
      </c>
      <c r="F213" s="3"/>
      <c r="G213" s="3"/>
      <c r="H213" s="3"/>
      <c r="I213" s="2">
        <v>10</v>
      </c>
      <c r="J213">
        <v>43.40030860056352</v>
      </c>
      <c r="K213">
        <v>5.3334900052531182</v>
      </c>
      <c r="L213" t="s">
        <v>53</v>
      </c>
      <c r="M213" t="s">
        <v>19</v>
      </c>
      <c r="N213" t="s">
        <v>20</v>
      </c>
    </row>
    <row r="214" spans="1:14">
      <c r="A214" t="s">
        <v>426</v>
      </c>
      <c r="B214" t="s">
        <v>427</v>
      </c>
      <c r="C214" t="s">
        <v>16</v>
      </c>
      <c r="D214" t="s">
        <v>23</v>
      </c>
      <c r="E214" s="2">
        <v>34037.310000000005</v>
      </c>
      <c r="F214" s="3"/>
      <c r="G214" s="3">
        <v>0.1111111111111111</v>
      </c>
      <c r="H214" s="3">
        <v>0.32120987234302589</v>
      </c>
      <c r="I214" s="2">
        <v>9</v>
      </c>
      <c r="J214">
        <v>62.334010237589283</v>
      </c>
      <c r="K214">
        <v>9.5636312035234265</v>
      </c>
      <c r="L214" t="s">
        <v>428</v>
      </c>
      <c r="M214" t="s">
        <v>19</v>
      </c>
      <c r="N214" t="s">
        <v>20</v>
      </c>
    </row>
    <row r="215" spans="1:14">
      <c r="A215" t="s">
        <v>431</v>
      </c>
      <c r="B215" t="s">
        <v>432</v>
      </c>
      <c r="C215" t="s">
        <v>16</v>
      </c>
      <c r="D215" t="s">
        <v>23</v>
      </c>
      <c r="E215" s="2">
        <v>942.56</v>
      </c>
      <c r="F215" s="3"/>
      <c r="G215" s="3"/>
      <c r="H215" s="3"/>
      <c r="I215" s="2">
        <v>9</v>
      </c>
      <c r="J215">
        <v>49.72702863961814</v>
      </c>
      <c r="K215">
        <v>30.000000000000004</v>
      </c>
      <c r="L215" t="s">
        <v>34</v>
      </c>
      <c r="M215" t="s">
        <v>19</v>
      </c>
      <c r="N215" t="s">
        <v>20</v>
      </c>
    </row>
    <row r="216" spans="1:14">
      <c r="A216" t="s">
        <v>458</v>
      </c>
      <c r="B216" t="s">
        <v>459</v>
      </c>
      <c r="C216" t="s">
        <v>16</v>
      </c>
      <c r="D216" t="s">
        <v>23</v>
      </c>
      <c r="E216" s="2">
        <v>8332.5</v>
      </c>
      <c r="F216" s="3"/>
      <c r="G216" s="3"/>
      <c r="H216" s="3"/>
      <c r="I216" s="2">
        <v>8</v>
      </c>
      <c r="J216">
        <v>96.97723577235773</v>
      </c>
      <c r="K216">
        <v>32.902439024390247</v>
      </c>
      <c r="L216" t="s">
        <v>18</v>
      </c>
      <c r="M216" t="s">
        <v>19</v>
      </c>
      <c r="N216" t="s">
        <v>20</v>
      </c>
    </row>
    <row r="217" spans="1:14">
      <c r="A217" t="s">
        <v>462</v>
      </c>
      <c r="B217" t="s">
        <v>463</v>
      </c>
      <c r="C217" t="s">
        <v>16</v>
      </c>
      <c r="D217" t="s">
        <v>23</v>
      </c>
      <c r="E217" s="2">
        <v>152103.03</v>
      </c>
      <c r="F217" s="3"/>
      <c r="G217" s="3"/>
      <c r="H217" s="3"/>
      <c r="I217" s="2">
        <v>8</v>
      </c>
      <c r="J217">
        <v>60.30171055763978</v>
      </c>
      <c r="K217">
        <v>59.952565047520757</v>
      </c>
      <c r="L217" t="s">
        <v>24</v>
      </c>
      <c r="M217" t="s">
        <v>19</v>
      </c>
      <c r="N217" t="s">
        <v>20</v>
      </c>
    </row>
    <row r="218" spans="1:14">
      <c r="A218" t="s">
        <v>466</v>
      </c>
      <c r="B218" t="s">
        <v>467</v>
      </c>
      <c r="C218" t="s">
        <v>16</v>
      </c>
      <c r="D218" t="s">
        <v>23</v>
      </c>
      <c r="E218" s="2">
        <v>2681.25</v>
      </c>
      <c r="F218" s="3"/>
      <c r="G218" s="3"/>
      <c r="H218" s="3"/>
      <c r="I218" s="2">
        <v>8</v>
      </c>
      <c r="J218">
        <v>31.223776223776223</v>
      </c>
      <c r="K218">
        <v>30</v>
      </c>
      <c r="L218" t="s">
        <v>34</v>
      </c>
      <c r="M218" t="s">
        <v>19</v>
      </c>
      <c r="N218" t="s">
        <v>20</v>
      </c>
    </row>
    <row r="219" spans="1:14">
      <c r="A219" t="s">
        <v>482</v>
      </c>
      <c r="B219" t="s">
        <v>483</v>
      </c>
      <c r="C219" t="s">
        <v>16</v>
      </c>
      <c r="D219" t="s">
        <v>23</v>
      </c>
      <c r="E219" s="2">
        <v>45072.5</v>
      </c>
      <c r="F219" s="3"/>
      <c r="G219" s="3"/>
      <c r="H219" s="3"/>
      <c r="I219" s="2">
        <v>8</v>
      </c>
      <c r="J219">
        <v>34.951078817460761</v>
      </c>
      <c r="K219">
        <v>30.643407842919739</v>
      </c>
      <c r="L219" t="s">
        <v>18</v>
      </c>
      <c r="M219" t="s">
        <v>19</v>
      </c>
      <c r="N219" t="s">
        <v>20</v>
      </c>
    </row>
    <row r="220" spans="1:14">
      <c r="A220" t="s">
        <v>490</v>
      </c>
      <c r="B220" t="s">
        <v>491</v>
      </c>
      <c r="C220" t="s">
        <v>16</v>
      </c>
      <c r="D220" t="s">
        <v>23</v>
      </c>
      <c r="E220" s="2">
        <v>6137.0600000000013</v>
      </c>
      <c r="F220" s="3"/>
      <c r="G220" s="3">
        <v>1</v>
      </c>
      <c r="H220" s="3">
        <v>1</v>
      </c>
      <c r="I220" s="2">
        <v>7</v>
      </c>
      <c r="J220">
        <v>34.811127803866988</v>
      </c>
      <c r="K220">
        <v>30.107044741293056</v>
      </c>
      <c r="L220" t="s">
        <v>39</v>
      </c>
      <c r="M220" t="s">
        <v>19</v>
      </c>
      <c r="N220" t="s">
        <v>20</v>
      </c>
    </row>
    <row r="221" spans="1:14">
      <c r="A221" t="s">
        <v>497</v>
      </c>
      <c r="B221" t="s">
        <v>498</v>
      </c>
      <c r="C221" t="s">
        <v>16</v>
      </c>
      <c r="D221" t="s">
        <v>23</v>
      </c>
      <c r="E221" s="2">
        <v>6474.4900000000007</v>
      </c>
      <c r="F221" s="3"/>
      <c r="G221" s="3">
        <v>0.2857142857142857</v>
      </c>
      <c r="H221" s="3">
        <v>8.9034039746759955E-2</v>
      </c>
      <c r="I221" s="2">
        <v>7</v>
      </c>
      <c r="J221">
        <v>52.453366983345397</v>
      </c>
      <c r="K221">
        <v>29.960030828683024</v>
      </c>
      <c r="L221" t="s">
        <v>316</v>
      </c>
      <c r="M221" t="s">
        <v>19</v>
      </c>
      <c r="N221" t="s">
        <v>20</v>
      </c>
    </row>
    <row r="222" spans="1:14">
      <c r="A222" t="s">
        <v>501</v>
      </c>
      <c r="B222" t="s">
        <v>502</v>
      </c>
      <c r="C222" t="s">
        <v>16</v>
      </c>
      <c r="D222" t="s">
        <v>23</v>
      </c>
      <c r="E222" s="2">
        <v>90807</v>
      </c>
      <c r="F222" s="3"/>
      <c r="G222" s="3">
        <v>1</v>
      </c>
      <c r="H222" s="3">
        <v>1</v>
      </c>
      <c r="I222" s="2">
        <v>7</v>
      </c>
      <c r="J222">
        <v>32.670543019811248</v>
      </c>
      <c r="K222">
        <v>30</v>
      </c>
      <c r="L222" t="s">
        <v>18</v>
      </c>
      <c r="M222" t="s">
        <v>19</v>
      </c>
      <c r="N222" t="s">
        <v>20</v>
      </c>
    </row>
    <row r="223" spans="1:14">
      <c r="A223" t="s">
        <v>512</v>
      </c>
      <c r="B223" t="s">
        <v>513</v>
      </c>
      <c r="C223" t="s">
        <v>16</v>
      </c>
      <c r="D223" t="s">
        <v>23</v>
      </c>
      <c r="E223" s="2">
        <v>21742.5</v>
      </c>
      <c r="F223" s="3"/>
      <c r="G223" s="3"/>
      <c r="H223" s="3"/>
      <c r="I223" s="2">
        <v>7</v>
      </c>
      <c r="J223">
        <v>179.13211452224905</v>
      </c>
      <c r="K223">
        <v>30.255260434632632</v>
      </c>
      <c r="L223" t="s">
        <v>39</v>
      </c>
      <c r="M223" t="s">
        <v>20</v>
      </c>
      <c r="N223" t="s">
        <v>20</v>
      </c>
    </row>
    <row r="224" spans="1:14">
      <c r="A224" t="s">
        <v>514</v>
      </c>
      <c r="B224" t="s">
        <v>515</v>
      </c>
      <c r="C224" t="s">
        <v>16</v>
      </c>
      <c r="D224" t="s">
        <v>23</v>
      </c>
      <c r="E224" s="2">
        <v>16650</v>
      </c>
      <c r="F224" s="3"/>
      <c r="G224" s="3"/>
      <c r="H224" s="3"/>
      <c r="I224" s="2">
        <v>7</v>
      </c>
      <c r="J224">
        <v>30.09009009009009</v>
      </c>
      <c r="K224">
        <v>30</v>
      </c>
      <c r="L224" t="s">
        <v>18</v>
      </c>
      <c r="M224" t="s">
        <v>20</v>
      </c>
      <c r="N224" t="s">
        <v>20</v>
      </c>
    </row>
    <row r="225" spans="1:14">
      <c r="A225" t="s">
        <v>520</v>
      </c>
      <c r="B225" t="s">
        <v>521</v>
      </c>
      <c r="C225" t="s">
        <v>16</v>
      </c>
      <c r="D225" t="s">
        <v>23</v>
      </c>
      <c r="E225" s="2">
        <v>82188.08</v>
      </c>
      <c r="F225" s="3"/>
      <c r="G225" s="3"/>
      <c r="H225" s="3"/>
      <c r="I225" s="2">
        <v>6</v>
      </c>
      <c r="J225">
        <v>31.322516233497602</v>
      </c>
      <c r="K225">
        <v>30</v>
      </c>
      <c r="L225" t="s">
        <v>34</v>
      </c>
      <c r="M225" t="s">
        <v>19</v>
      </c>
      <c r="N225" t="s">
        <v>20</v>
      </c>
    </row>
    <row r="226" spans="1:14">
      <c r="A226" t="s">
        <v>526</v>
      </c>
      <c r="B226" t="s">
        <v>527</v>
      </c>
      <c r="C226" t="s">
        <v>16</v>
      </c>
      <c r="D226" t="s">
        <v>23</v>
      </c>
      <c r="E226" s="2">
        <v>25214</v>
      </c>
      <c r="F226" s="3"/>
      <c r="G226" s="3"/>
      <c r="H226" s="3"/>
      <c r="I226" s="2">
        <v>6</v>
      </c>
      <c r="J226">
        <v>36.725033711430157</v>
      </c>
      <c r="K226">
        <v>21</v>
      </c>
      <c r="L226" t="s">
        <v>34</v>
      </c>
      <c r="M226" t="s">
        <v>19</v>
      </c>
      <c r="N226" t="s">
        <v>20</v>
      </c>
    </row>
    <row r="227" spans="1:14">
      <c r="A227" t="s">
        <v>530</v>
      </c>
      <c r="B227" t="s">
        <v>531</v>
      </c>
      <c r="C227" t="s">
        <v>16</v>
      </c>
      <c r="D227" t="s">
        <v>23</v>
      </c>
      <c r="E227" s="2">
        <v>93860</v>
      </c>
      <c r="F227" s="3"/>
      <c r="G227" s="3"/>
      <c r="H227" s="3"/>
      <c r="I227" s="2">
        <v>6</v>
      </c>
      <c r="J227">
        <v>35.228010762664688</v>
      </c>
      <c r="K227">
        <v>33.874559287437371</v>
      </c>
      <c r="L227" t="s">
        <v>18</v>
      </c>
      <c r="M227" t="s">
        <v>20</v>
      </c>
      <c r="N227" t="s">
        <v>20</v>
      </c>
    </row>
    <row r="228" spans="1:14">
      <c r="A228" t="s">
        <v>536</v>
      </c>
      <c r="B228" t="s">
        <v>537</v>
      </c>
      <c r="C228" t="s">
        <v>16</v>
      </c>
      <c r="D228" t="s">
        <v>23</v>
      </c>
      <c r="E228" s="2">
        <v>23759.88</v>
      </c>
      <c r="F228" s="3"/>
      <c r="G228" s="3"/>
      <c r="H228" s="3"/>
      <c r="I228" s="2">
        <v>6</v>
      </c>
      <c r="J228">
        <v>65.050530558235138</v>
      </c>
      <c r="K228">
        <v>60</v>
      </c>
      <c r="L228" t="s">
        <v>18</v>
      </c>
      <c r="M228" t="s">
        <v>20</v>
      </c>
      <c r="N228" t="s">
        <v>19</v>
      </c>
    </row>
    <row r="229" spans="1:14">
      <c r="A229" t="s">
        <v>538</v>
      </c>
      <c r="B229" t="s">
        <v>539</v>
      </c>
      <c r="C229" t="s">
        <v>16</v>
      </c>
      <c r="D229" t="s">
        <v>23</v>
      </c>
      <c r="E229" s="2">
        <v>91298.1</v>
      </c>
      <c r="F229" s="3"/>
      <c r="G229" s="3">
        <v>1</v>
      </c>
      <c r="H229" s="3">
        <v>1</v>
      </c>
      <c r="I229" s="2">
        <v>6</v>
      </c>
      <c r="J229">
        <v>46.596603872369741</v>
      </c>
      <c r="K229">
        <v>47.999999999999993</v>
      </c>
      <c r="L229" t="s">
        <v>39</v>
      </c>
      <c r="M229" t="s">
        <v>19</v>
      </c>
      <c r="N229" t="s">
        <v>20</v>
      </c>
    </row>
    <row r="230" spans="1:14">
      <c r="A230" t="s">
        <v>556</v>
      </c>
      <c r="B230" t="s">
        <v>557</v>
      </c>
      <c r="C230" t="s">
        <v>16</v>
      </c>
      <c r="D230" t="s">
        <v>23</v>
      </c>
      <c r="E230" s="2">
        <v>5072</v>
      </c>
      <c r="F230" s="3"/>
      <c r="G230" s="3"/>
      <c r="H230" s="3"/>
      <c r="I230" s="2">
        <v>5</v>
      </c>
      <c r="J230">
        <v>15.501577287066246</v>
      </c>
      <c r="K230">
        <v>12.952681388012618</v>
      </c>
      <c r="L230" t="s">
        <v>18</v>
      </c>
      <c r="M230" t="s">
        <v>19</v>
      </c>
      <c r="N230" t="s">
        <v>20</v>
      </c>
    </row>
    <row r="231" spans="1:14">
      <c r="A231" t="s">
        <v>558</v>
      </c>
      <c r="B231" t="s">
        <v>559</v>
      </c>
      <c r="C231" t="s">
        <v>16</v>
      </c>
      <c r="D231" t="s">
        <v>23</v>
      </c>
      <c r="E231" s="2">
        <v>10347.299999999999</v>
      </c>
      <c r="F231" s="3"/>
      <c r="G231" s="3"/>
      <c r="H231" s="3"/>
      <c r="I231" s="2">
        <v>5</v>
      </c>
      <c r="J231">
        <v>28.796971190552128</v>
      </c>
      <c r="K231">
        <v>13.319754911909389</v>
      </c>
      <c r="L231" t="s">
        <v>428</v>
      </c>
      <c r="M231" t="s">
        <v>19</v>
      </c>
      <c r="N231" t="s">
        <v>20</v>
      </c>
    </row>
    <row r="232" spans="1:14">
      <c r="A232" t="s">
        <v>562</v>
      </c>
      <c r="B232" t="s">
        <v>563</v>
      </c>
      <c r="C232" t="s">
        <v>16</v>
      </c>
      <c r="D232" t="s">
        <v>23</v>
      </c>
      <c r="E232" s="2">
        <v>76874.83</v>
      </c>
      <c r="F232" s="3"/>
      <c r="G232" s="3"/>
      <c r="H232" s="3"/>
      <c r="I232" s="2">
        <v>5</v>
      </c>
      <c r="J232">
        <v>46.691758147627773</v>
      </c>
      <c r="K232">
        <v>44.999999999999993</v>
      </c>
      <c r="L232" t="s">
        <v>39</v>
      </c>
      <c r="M232" t="s">
        <v>20</v>
      </c>
      <c r="N232" t="s">
        <v>20</v>
      </c>
    </row>
    <row r="233" spans="1:14">
      <c r="A233" t="s">
        <v>564</v>
      </c>
      <c r="B233" t="s">
        <v>565</v>
      </c>
      <c r="C233" t="s">
        <v>16</v>
      </c>
      <c r="D233" t="s">
        <v>23</v>
      </c>
      <c r="E233" s="2">
        <v>36161.339999999997</v>
      </c>
      <c r="F233" s="3"/>
      <c r="G233" s="3"/>
      <c r="H233" s="3"/>
      <c r="I233" s="2">
        <v>5</v>
      </c>
      <c r="J233">
        <v>74.8888888888889</v>
      </c>
      <c r="K233">
        <v>45</v>
      </c>
      <c r="L233" t="s">
        <v>39</v>
      </c>
      <c r="M233" t="s">
        <v>19</v>
      </c>
      <c r="N233" t="s">
        <v>20</v>
      </c>
    </row>
    <row r="234" spans="1:14">
      <c r="A234" t="s">
        <v>578</v>
      </c>
      <c r="B234" t="s">
        <v>579</v>
      </c>
      <c r="C234" t="s">
        <v>16</v>
      </c>
      <c r="D234" t="s">
        <v>23</v>
      </c>
      <c r="E234" s="2">
        <v>3268</v>
      </c>
      <c r="F234" s="3"/>
      <c r="G234" s="3"/>
      <c r="H234" s="3"/>
      <c r="I234" s="2">
        <v>5</v>
      </c>
      <c r="J234">
        <v>90.563035495716036</v>
      </c>
      <c r="K234">
        <v>37.154834761321908</v>
      </c>
      <c r="L234" t="s">
        <v>18</v>
      </c>
      <c r="M234" t="s">
        <v>19</v>
      </c>
      <c r="N234" t="s">
        <v>20</v>
      </c>
    </row>
    <row r="235" spans="1:14">
      <c r="A235" t="s">
        <v>598</v>
      </c>
      <c r="B235" t="s">
        <v>599</v>
      </c>
      <c r="C235" t="s">
        <v>16</v>
      </c>
      <c r="D235" t="s">
        <v>23</v>
      </c>
      <c r="E235" s="2">
        <v>1840</v>
      </c>
      <c r="F235" s="3"/>
      <c r="G235" s="3"/>
      <c r="H235" s="3"/>
      <c r="I235" s="2">
        <v>4</v>
      </c>
      <c r="J235">
        <v>73.008152173913047</v>
      </c>
      <c r="K235">
        <v>30</v>
      </c>
      <c r="L235" t="s">
        <v>600</v>
      </c>
      <c r="M235" t="s">
        <v>19</v>
      </c>
      <c r="N235" t="s">
        <v>20</v>
      </c>
    </row>
    <row r="236" spans="1:14">
      <c r="A236" t="s">
        <v>611</v>
      </c>
      <c r="B236" t="s">
        <v>612</v>
      </c>
      <c r="C236" t="s">
        <v>16</v>
      </c>
      <c r="D236" t="s">
        <v>23</v>
      </c>
      <c r="E236" s="2">
        <v>20402.690000000002</v>
      </c>
      <c r="F236" s="3"/>
      <c r="G236" s="3"/>
      <c r="H236" s="3"/>
      <c r="I236" s="2">
        <v>4</v>
      </c>
      <c r="J236">
        <v>106.21039088473135</v>
      </c>
      <c r="K236">
        <v>77.823066958327558</v>
      </c>
      <c r="L236" t="s">
        <v>39</v>
      </c>
      <c r="M236" t="s">
        <v>19</v>
      </c>
      <c r="N236" t="s">
        <v>19</v>
      </c>
    </row>
    <row r="237" spans="1:14">
      <c r="A237" t="s">
        <v>631</v>
      </c>
      <c r="B237" t="s">
        <v>632</v>
      </c>
      <c r="C237" t="s">
        <v>16</v>
      </c>
      <c r="D237" t="s">
        <v>23</v>
      </c>
      <c r="E237" s="2">
        <v>112209.75</v>
      </c>
      <c r="F237" s="3"/>
      <c r="G237" s="3"/>
      <c r="H237" s="3"/>
      <c r="I237" s="2">
        <v>4</v>
      </c>
      <c r="J237">
        <v>41.774894784098528</v>
      </c>
      <c r="K237">
        <v>43.085282250428328</v>
      </c>
      <c r="L237" t="s">
        <v>39</v>
      </c>
      <c r="M237" t="s">
        <v>19</v>
      </c>
      <c r="N237" t="s">
        <v>20</v>
      </c>
    </row>
    <row r="238" spans="1:14">
      <c r="A238" t="s">
        <v>633</v>
      </c>
      <c r="B238" t="s">
        <v>634</v>
      </c>
      <c r="C238" t="s">
        <v>16</v>
      </c>
      <c r="D238" t="s">
        <v>23</v>
      </c>
      <c r="E238" s="2">
        <v>91986</v>
      </c>
      <c r="F238" s="3"/>
      <c r="G238" s="3"/>
      <c r="H238" s="3"/>
      <c r="I238" s="2">
        <v>4</v>
      </c>
      <c r="J238">
        <v>28.994564390233297</v>
      </c>
      <c r="K238">
        <v>29.991846585349943</v>
      </c>
      <c r="L238" t="s">
        <v>34</v>
      </c>
      <c r="M238" t="s">
        <v>20</v>
      </c>
      <c r="N238" t="s">
        <v>19</v>
      </c>
    </row>
    <row r="239" spans="1:14">
      <c r="A239" t="s">
        <v>641</v>
      </c>
      <c r="B239" t="s">
        <v>642</v>
      </c>
      <c r="C239" t="s">
        <v>16</v>
      </c>
      <c r="D239" t="s">
        <v>23</v>
      </c>
      <c r="E239" s="2">
        <v>5630.3</v>
      </c>
      <c r="F239" s="3"/>
      <c r="G239" s="3"/>
      <c r="H239" s="3"/>
      <c r="I239" s="2">
        <v>4</v>
      </c>
      <c r="J239">
        <v>65.838694208123911</v>
      </c>
      <c r="K239">
        <v>60</v>
      </c>
      <c r="L239" t="s">
        <v>18</v>
      </c>
      <c r="M239" t="s">
        <v>19</v>
      </c>
      <c r="N239" t="s">
        <v>20</v>
      </c>
    </row>
    <row r="240" spans="1:14">
      <c r="A240" t="s">
        <v>652</v>
      </c>
      <c r="B240" t="s">
        <v>653</v>
      </c>
      <c r="C240" t="s">
        <v>16</v>
      </c>
      <c r="D240" t="s">
        <v>23</v>
      </c>
      <c r="E240" s="2">
        <v>13946.94</v>
      </c>
      <c r="F240" s="3"/>
      <c r="G240" s="3"/>
      <c r="H240" s="3"/>
      <c r="I240" s="2">
        <v>4</v>
      </c>
      <c r="J240">
        <v>71.480373472604029</v>
      </c>
      <c r="K240">
        <v>43.398582771561351</v>
      </c>
      <c r="L240" t="s">
        <v>34</v>
      </c>
      <c r="M240" t="s">
        <v>19</v>
      </c>
      <c r="N240" t="s">
        <v>20</v>
      </c>
    </row>
    <row r="241" spans="1:14">
      <c r="A241" t="s">
        <v>656</v>
      </c>
      <c r="B241" t="s">
        <v>657</v>
      </c>
      <c r="C241" t="s">
        <v>16</v>
      </c>
      <c r="D241" t="s">
        <v>23</v>
      </c>
      <c r="E241" s="2">
        <v>25856.940000000002</v>
      </c>
      <c r="F241" s="3"/>
      <c r="G241" s="3"/>
      <c r="H241" s="3"/>
      <c r="I241" s="2">
        <v>3</v>
      </c>
      <c r="J241">
        <v>70.002396261893324</v>
      </c>
      <c r="K241">
        <v>29.999999999999996</v>
      </c>
      <c r="L241" t="s">
        <v>34</v>
      </c>
      <c r="M241" t="s">
        <v>19</v>
      </c>
      <c r="N241" t="s">
        <v>20</v>
      </c>
    </row>
    <row r="242" spans="1:14">
      <c r="A242" t="s">
        <v>662</v>
      </c>
      <c r="B242" t="s">
        <v>663</v>
      </c>
      <c r="C242" t="s">
        <v>16</v>
      </c>
      <c r="D242" t="s">
        <v>23</v>
      </c>
      <c r="E242" s="2">
        <v>12162.859999999999</v>
      </c>
      <c r="F242" s="3"/>
      <c r="G242" s="3"/>
      <c r="H242" s="3"/>
      <c r="I242" s="2">
        <v>3</v>
      </c>
      <c r="J242">
        <v>70.923595272822354</v>
      </c>
      <c r="K242">
        <v>60.000000000000007</v>
      </c>
      <c r="L242" t="s">
        <v>18</v>
      </c>
      <c r="M242" t="s">
        <v>20</v>
      </c>
      <c r="N242" t="s">
        <v>20</v>
      </c>
    </row>
    <row r="243" spans="1:14">
      <c r="A243" t="s">
        <v>666</v>
      </c>
      <c r="B243" t="s">
        <v>667</v>
      </c>
      <c r="C243" t="s">
        <v>16</v>
      </c>
      <c r="D243" t="s">
        <v>23</v>
      </c>
      <c r="E243" s="2">
        <v>10024</v>
      </c>
      <c r="F243" s="3"/>
      <c r="G243" s="3"/>
      <c r="H243" s="3"/>
      <c r="I243" s="2">
        <v>3</v>
      </c>
      <c r="J243">
        <v>77.293695131683961</v>
      </c>
      <c r="K243">
        <v>30</v>
      </c>
      <c r="L243" t="s">
        <v>34</v>
      </c>
      <c r="M243" t="s">
        <v>19</v>
      </c>
      <c r="N243" t="s">
        <v>20</v>
      </c>
    </row>
    <row r="244" spans="1:14">
      <c r="A244" t="s">
        <v>672</v>
      </c>
      <c r="B244" t="s">
        <v>673</v>
      </c>
      <c r="C244" t="s">
        <v>16</v>
      </c>
      <c r="D244" t="s">
        <v>23</v>
      </c>
      <c r="E244" s="2">
        <v>4900</v>
      </c>
      <c r="F244" s="3"/>
      <c r="G244" s="3"/>
      <c r="H244" s="3"/>
      <c r="I244" s="2">
        <v>3</v>
      </c>
      <c r="J244">
        <v>63</v>
      </c>
      <c r="K244">
        <v>60</v>
      </c>
      <c r="L244" t="s">
        <v>18</v>
      </c>
      <c r="M244" t="s">
        <v>19</v>
      </c>
      <c r="N244" t="s">
        <v>19</v>
      </c>
    </row>
    <row r="245" spans="1:14">
      <c r="A245" t="s">
        <v>674</v>
      </c>
      <c r="B245" t="s">
        <v>675</v>
      </c>
      <c r="C245" t="s">
        <v>16</v>
      </c>
      <c r="D245" t="s">
        <v>23</v>
      </c>
      <c r="E245" s="2">
        <v>22541.73</v>
      </c>
      <c r="F245" s="3"/>
      <c r="G245" s="3"/>
      <c r="H245" s="3"/>
      <c r="I245" s="2">
        <v>3</v>
      </c>
      <c r="J245">
        <v>80.89582210415972</v>
      </c>
      <c r="K245">
        <v>53.772509918271574</v>
      </c>
      <c r="L245" t="s">
        <v>153</v>
      </c>
      <c r="M245" t="s">
        <v>19</v>
      </c>
      <c r="N245" t="s">
        <v>20</v>
      </c>
    </row>
    <row r="246" spans="1:14">
      <c r="A246" t="s">
        <v>688</v>
      </c>
      <c r="B246" t="s">
        <v>689</v>
      </c>
      <c r="C246" t="s">
        <v>16</v>
      </c>
      <c r="D246" t="s">
        <v>23</v>
      </c>
      <c r="E246" s="2">
        <v>4851.9000000000005</v>
      </c>
      <c r="F246" s="3"/>
      <c r="G246" s="3"/>
      <c r="H246" s="3"/>
      <c r="I246" s="2">
        <v>3</v>
      </c>
      <c r="J246">
        <v>32.693876512783405</v>
      </c>
      <c r="K246">
        <v>30</v>
      </c>
      <c r="L246" t="s">
        <v>34</v>
      </c>
      <c r="M246" t="s">
        <v>20</v>
      </c>
      <c r="N246" t="s">
        <v>19</v>
      </c>
    </row>
    <row r="247" spans="1:14">
      <c r="A247" t="s">
        <v>692</v>
      </c>
      <c r="B247" t="s">
        <v>693</v>
      </c>
      <c r="C247" t="s">
        <v>16</v>
      </c>
      <c r="D247" t="s">
        <v>23</v>
      </c>
      <c r="E247" s="2">
        <v>8000</v>
      </c>
      <c r="F247" s="3"/>
      <c r="G247" s="3">
        <v>1</v>
      </c>
      <c r="H247" s="3">
        <v>1</v>
      </c>
      <c r="I247" s="2">
        <v>3</v>
      </c>
      <c r="J247">
        <v>14.2875</v>
      </c>
      <c r="K247">
        <v>14</v>
      </c>
      <c r="L247" t="s">
        <v>24</v>
      </c>
      <c r="M247" t="s">
        <v>19</v>
      </c>
      <c r="N247" t="s">
        <v>20</v>
      </c>
    </row>
    <row r="248" spans="1:14">
      <c r="A248" t="s">
        <v>700</v>
      </c>
      <c r="B248" t="s">
        <v>701</v>
      </c>
      <c r="C248" t="s">
        <v>16</v>
      </c>
      <c r="D248" t="s">
        <v>23</v>
      </c>
      <c r="E248" s="2">
        <v>4715</v>
      </c>
      <c r="F248" s="3"/>
      <c r="G248" s="3">
        <v>0.66666666666666663</v>
      </c>
      <c r="H248" s="3">
        <v>0.44008483563096501</v>
      </c>
      <c r="I248" s="2">
        <v>3</v>
      </c>
      <c r="J248">
        <v>26.511134676564158</v>
      </c>
      <c r="K248">
        <v>24.960763520678686</v>
      </c>
      <c r="L248" t="s">
        <v>34</v>
      </c>
      <c r="M248" t="s">
        <v>20</v>
      </c>
      <c r="N248" t="s">
        <v>20</v>
      </c>
    </row>
    <row r="249" spans="1:14">
      <c r="A249" t="s">
        <v>702</v>
      </c>
      <c r="B249" t="s">
        <v>703</v>
      </c>
      <c r="C249" t="s">
        <v>16</v>
      </c>
      <c r="D249" t="s">
        <v>23</v>
      </c>
      <c r="E249" s="2">
        <v>282.26</v>
      </c>
      <c r="F249" s="3"/>
      <c r="G249" s="3"/>
      <c r="H249" s="3"/>
      <c r="I249" s="2">
        <v>3</v>
      </c>
      <c r="J249">
        <v>19.000000000000004</v>
      </c>
      <c r="K249">
        <v>14</v>
      </c>
      <c r="L249" t="s">
        <v>18</v>
      </c>
      <c r="M249" t="s">
        <v>19</v>
      </c>
      <c r="N249" t="s">
        <v>20</v>
      </c>
    </row>
    <row r="250" spans="1:14">
      <c r="A250" t="s">
        <v>706</v>
      </c>
      <c r="B250" t="s">
        <v>707</v>
      </c>
      <c r="C250" t="s">
        <v>16</v>
      </c>
      <c r="D250" t="s">
        <v>23</v>
      </c>
      <c r="E250" s="2">
        <v>43200</v>
      </c>
      <c r="F250" s="3"/>
      <c r="G250" s="3"/>
      <c r="H250" s="3"/>
      <c r="I250" s="2">
        <v>3</v>
      </c>
      <c r="J250">
        <v>54.185185185185183</v>
      </c>
      <c r="K250">
        <v>52.870370370370374</v>
      </c>
      <c r="L250" t="s">
        <v>34</v>
      </c>
      <c r="M250" t="s">
        <v>19</v>
      </c>
      <c r="N250" t="s">
        <v>20</v>
      </c>
    </row>
    <row r="251" spans="1:14">
      <c r="A251" t="s">
        <v>710</v>
      </c>
      <c r="B251" t="s">
        <v>711</v>
      </c>
      <c r="C251" t="s">
        <v>16</v>
      </c>
      <c r="D251" t="s">
        <v>23</v>
      </c>
      <c r="E251" s="2">
        <v>1294.0999999999999</v>
      </c>
      <c r="F251" s="3"/>
      <c r="G251" s="3"/>
      <c r="H251" s="3"/>
      <c r="I251" s="2">
        <v>3</v>
      </c>
      <c r="J251">
        <v>81.609458310795162</v>
      </c>
      <c r="K251">
        <v>60.000000000000007</v>
      </c>
      <c r="L251" t="s">
        <v>18</v>
      </c>
      <c r="M251" t="s">
        <v>19</v>
      </c>
      <c r="N251" t="s">
        <v>20</v>
      </c>
    </row>
    <row r="252" spans="1:14">
      <c r="A252" t="s">
        <v>714</v>
      </c>
      <c r="B252" t="s">
        <v>715</v>
      </c>
      <c r="C252" t="s">
        <v>16</v>
      </c>
      <c r="D252" t="s">
        <v>23</v>
      </c>
      <c r="E252" s="2">
        <v>7080</v>
      </c>
      <c r="F252" s="3"/>
      <c r="G252" s="3"/>
      <c r="H252" s="3"/>
      <c r="I252" s="2">
        <v>3</v>
      </c>
      <c r="J252">
        <v>21.666666666666668</v>
      </c>
      <c r="K252">
        <v>30</v>
      </c>
      <c r="L252" t="s">
        <v>34</v>
      </c>
      <c r="M252" t="s">
        <v>19</v>
      </c>
      <c r="N252" t="s">
        <v>20</v>
      </c>
    </row>
    <row r="253" spans="1:14">
      <c r="A253" t="s">
        <v>726</v>
      </c>
      <c r="B253" t="s">
        <v>727</v>
      </c>
      <c r="C253" t="s">
        <v>16</v>
      </c>
      <c r="D253" t="s">
        <v>23</v>
      </c>
      <c r="E253" s="2">
        <v>13801</v>
      </c>
      <c r="F253" s="3"/>
      <c r="G253" s="3"/>
      <c r="H253" s="3"/>
      <c r="I253" s="2">
        <v>3</v>
      </c>
      <c r="J253">
        <v>83</v>
      </c>
      <c r="K253">
        <v>60</v>
      </c>
      <c r="L253" t="s">
        <v>18</v>
      </c>
      <c r="M253" t="s">
        <v>20</v>
      </c>
      <c r="N253" t="s">
        <v>20</v>
      </c>
    </row>
    <row r="254" spans="1:14">
      <c r="A254" t="s">
        <v>728</v>
      </c>
      <c r="B254" t="s">
        <v>729</v>
      </c>
      <c r="C254" t="s">
        <v>16</v>
      </c>
      <c r="D254" t="s">
        <v>23</v>
      </c>
      <c r="E254" s="2">
        <v>55043.22</v>
      </c>
      <c r="F254" s="3"/>
      <c r="G254" s="3"/>
      <c r="H254" s="3"/>
      <c r="I254" s="2">
        <v>3</v>
      </c>
      <c r="J254">
        <v>35.458114732386662</v>
      </c>
      <c r="K254">
        <v>30</v>
      </c>
      <c r="L254" t="s">
        <v>18</v>
      </c>
      <c r="M254" t="s">
        <v>19</v>
      </c>
      <c r="N254" t="s">
        <v>20</v>
      </c>
    </row>
    <row r="255" spans="1:14">
      <c r="A255" t="s">
        <v>734</v>
      </c>
      <c r="B255" t="s">
        <v>735</v>
      </c>
      <c r="C255" t="s">
        <v>16</v>
      </c>
      <c r="D255" t="s">
        <v>23</v>
      </c>
      <c r="E255" s="2">
        <v>26623.759999999998</v>
      </c>
      <c r="F255" s="3"/>
      <c r="G255" s="3">
        <v>1</v>
      </c>
      <c r="H255" s="3">
        <v>1</v>
      </c>
      <c r="I255" s="2">
        <v>3</v>
      </c>
      <c r="J255">
        <v>96.341522008912349</v>
      </c>
      <c r="K255">
        <v>42.763388792567241</v>
      </c>
      <c r="L255" t="s">
        <v>39</v>
      </c>
      <c r="M255" t="s">
        <v>20</v>
      </c>
      <c r="N255" t="s">
        <v>20</v>
      </c>
    </row>
    <row r="256" spans="1:14">
      <c r="A256" t="s">
        <v>736</v>
      </c>
      <c r="B256" t="s">
        <v>737</v>
      </c>
      <c r="C256" t="s">
        <v>16</v>
      </c>
      <c r="D256" t="s">
        <v>23</v>
      </c>
      <c r="E256" s="2">
        <v>1288.73</v>
      </c>
      <c r="F256" s="3"/>
      <c r="G256" s="3"/>
      <c r="H256" s="3"/>
      <c r="I256" s="2">
        <v>3</v>
      </c>
      <c r="J256">
        <v>45.535760011794558</v>
      </c>
      <c r="K256">
        <v>30</v>
      </c>
      <c r="L256" t="s">
        <v>18</v>
      </c>
      <c r="M256" t="s">
        <v>20</v>
      </c>
      <c r="N256" t="s">
        <v>20</v>
      </c>
    </row>
    <row r="257" spans="1:14">
      <c r="A257" t="s">
        <v>738</v>
      </c>
      <c r="B257" t="s">
        <v>739</v>
      </c>
      <c r="C257" t="s">
        <v>16</v>
      </c>
      <c r="D257" t="s">
        <v>23</v>
      </c>
      <c r="E257" s="2">
        <v>1307.6300000000001</v>
      </c>
      <c r="F257" s="3"/>
      <c r="G257" s="3"/>
      <c r="H257" s="3"/>
      <c r="I257" s="2">
        <v>3</v>
      </c>
      <c r="J257">
        <v>30.532643025932412</v>
      </c>
      <c r="K257">
        <v>30</v>
      </c>
      <c r="L257" t="s">
        <v>18</v>
      </c>
      <c r="M257" t="s">
        <v>19</v>
      </c>
      <c r="N257" t="s">
        <v>20</v>
      </c>
    </row>
    <row r="258" spans="1:14">
      <c r="A258" t="s">
        <v>756</v>
      </c>
      <c r="B258" t="s">
        <v>757</v>
      </c>
      <c r="C258" t="s">
        <v>16</v>
      </c>
      <c r="D258" t="s">
        <v>23</v>
      </c>
      <c r="E258" s="2">
        <v>6950</v>
      </c>
      <c r="F258" s="3"/>
      <c r="G258" s="3"/>
      <c r="H258" s="3"/>
      <c r="I258" s="2">
        <v>2</v>
      </c>
      <c r="J258">
        <v>79.151079136690655</v>
      </c>
      <c r="K258">
        <v>51.582733812949641</v>
      </c>
      <c r="L258" t="s">
        <v>18</v>
      </c>
      <c r="M258" t="s">
        <v>19</v>
      </c>
      <c r="N258" t="s">
        <v>20</v>
      </c>
    </row>
    <row r="259" spans="1:14">
      <c r="A259" t="s">
        <v>762</v>
      </c>
      <c r="B259" t="s">
        <v>763</v>
      </c>
      <c r="C259" t="s">
        <v>16</v>
      </c>
      <c r="D259" t="s">
        <v>23</v>
      </c>
      <c r="E259" s="2">
        <v>21511.760000000002</v>
      </c>
      <c r="F259" s="3"/>
      <c r="G259" s="3"/>
      <c r="H259" s="3"/>
      <c r="I259" s="2">
        <v>2</v>
      </c>
      <c r="J259">
        <v>97.419231155423816</v>
      </c>
      <c r="K259">
        <v>60</v>
      </c>
      <c r="L259" t="s">
        <v>18</v>
      </c>
      <c r="M259" t="s">
        <v>19</v>
      </c>
      <c r="N259" t="s">
        <v>20</v>
      </c>
    </row>
    <row r="260" spans="1:14">
      <c r="A260" t="s">
        <v>786</v>
      </c>
      <c r="B260" t="s">
        <v>787</v>
      </c>
      <c r="C260" t="s">
        <v>16</v>
      </c>
      <c r="D260" t="s">
        <v>23</v>
      </c>
      <c r="E260" s="2">
        <v>48099.619999999995</v>
      </c>
      <c r="F260" s="3"/>
      <c r="G260" s="3"/>
      <c r="H260" s="3"/>
      <c r="I260" s="2">
        <v>2</v>
      </c>
      <c r="J260">
        <v>19.513852708191873</v>
      </c>
      <c r="K260">
        <v>7.680606208531378</v>
      </c>
      <c r="L260" t="s">
        <v>24</v>
      </c>
      <c r="M260" t="s">
        <v>19</v>
      </c>
      <c r="N260" t="s">
        <v>20</v>
      </c>
    </row>
    <row r="261" spans="1:14">
      <c r="A261" t="s">
        <v>792</v>
      </c>
      <c r="B261" t="s">
        <v>793</v>
      </c>
      <c r="C261" t="s">
        <v>16</v>
      </c>
      <c r="D261" t="s">
        <v>23</v>
      </c>
      <c r="E261" s="2">
        <v>10050</v>
      </c>
      <c r="F261" s="3"/>
      <c r="G261" s="3"/>
      <c r="H261" s="3"/>
      <c r="I261" s="2">
        <v>2</v>
      </c>
      <c r="J261">
        <v>142</v>
      </c>
      <c r="K261">
        <v>16</v>
      </c>
      <c r="L261" t="s">
        <v>34</v>
      </c>
      <c r="M261" t="s">
        <v>19</v>
      </c>
      <c r="N261" t="s">
        <v>20</v>
      </c>
    </row>
    <row r="262" spans="1:14">
      <c r="A262" t="s">
        <v>796</v>
      </c>
      <c r="B262" t="s">
        <v>797</v>
      </c>
      <c r="C262" t="s">
        <v>16</v>
      </c>
      <c r="D262" t="s">
        <v>23</v>
      </c>
      <c r="E262" s="2">
        <v>37143.020000000004</v>
      </c>
      <c r="F262" s="3"/>
      <c r="G262" s="3"/>
      <c r="H262" s="3"/>
      <c r="I262" s="2">
        <v>2</v>
      </c>
      <c r="J262">
        <v>40.115331494315754</v>
      </c>
      <c r="K262">
        <v>42.115331494315754</v>
      </c>
      <c r="L262" t="s">
        <v>39</v>
      </c>
      <c r="M262" t="s">
        <v>19</v>
      </c>
      <c r="N262" t="s">
        <v>20</v>
      </c>
    </row>
    <row r="263" spans="1:14">
      <c r="A263" t="s">
        <v>812</v>
      </c>
      <c r="B263" t="s">
        <v>813</v>
      </c>
      <c r="C263" t="s">
        <v>16</v>
      </c>
      <c r="D263" t="s">
        <v>23</v>
      </c>
      <c r="E263" s="2">
        <v>38686.380000000005</v>
      </c>
      <c r="F263" s="3"/>
      <c r="G263" s="3"/>
      <c r="H263" s="3"/>
      <c r="I263" s="2">
        <v>2</v>
      </c>
      <c r="J263">
        <v>43</v>
      </c>
      <c r="K263">
        <v>45</v>
      </c>
      <c r="L263" t="s">
        <v>39</v>
      </c>
      <c r="M263" t="s">
        <v>20</v>
      </c>
      <c r="N263" t="s">
        <v>19</v>
      </c>
    </row>
    <row r="264" spans="1:14">
      <c r="A264" t="s">
        <v>818</v>
      </c>
      <c r="B264" t="s">
        <v>819</v>
      </c>
      <c r="C264" t="s">
        <v>16</v>
      </c>
      <c r="D264" t="s">
        <v>23</v>
      </c>
      <c r="E264" s="2">
        <v>48317.919999999998</v>
      </c>
      <c r="F264" s="3"/>
      <c r="G264" s="3"/>
      <c r="H264" s="3"/>
      <c r="I264" s="2">
        <v>2</v>
      </c>
      <c r="J264">
        <v>354.26438306946989</v>
      </c>
      <c r="K264">
        <v>6.9999999999999991</v>
      </c>
      <c r="L264" t="s">
        <v>153</v>
      </c>
      <c r="M264" t="s">
        <v>19</v>
      </c>
      <c r="N264" t="s">
        <v>20</v>
      </c>
    </row>
    <row r="265" spans="1:14">
      <c r="A265" t="s">
        <v>820</v>
      </c>
      <c r="B265" t="s">
        <v>821</v>
      </c>
      <c r="C265" t="s">
        <v>16</v>
      </c>
      <c r="D265" t="s">
        <v>23</v>
      </c>
      <c r="E265" s="2">
        <v>7600</v>
      </c>
      <c r="F265" s="3"/>
      <c r="G265" s="3">
        <v>0.5</v>
      </c>
      <c r="H265" s="3">
        <v>0.94736842105263153</v>
      </c>
      <c r="I265" s="2">
        <v>2</v>
      </c>
      <c r="J265">
        <v>19.105263157894736</v>
      </c>
      <c r="K265">
        <v>16.421052631578949</v>
      </c>
      <c r="L265" t="s">
        <v>18</v>
      </c>
      <c r="M265" t="s">
        <v>19</v>
      </c>
      <c r="N265" t="s">
        <v>20</v>
      </c>
    </row>
    <row r="266" spans="1:14">
      <c r="A266" t="s">
        <v>828</v>
      </c>
      <c r="B266" t="s">
        <v>829</v>
      </c>
      <c r="C266" t="s">
        <v>16</v>
      </c>
      <c r="D266" t="s">
        <v>23</v>
      </c>
      <c r="E266" s="2">
        <v>23576.07</v>
      </c>
      <c r="F266" s="3"/>
      <c r="G266" s="3"/>
      <c r="H266" s="3"/>
      <c r="I266" s="2">
        <v>2</v>
      </c>
      <c r="J266">
        <v>59.663284847729074</v>
      </c>
      <c r="K266">
        <v>10</v>
      </c>
      <c r="L266" t="s">
        <v>428</v>
      </c>
      <c r="M266" t="s">
        <v>19</v>
      </c>
      <c r="N266" t="s">
        <v>20</v>
      </c>
    </row>
    <row r="267" spans="1:14">
      <c r="A267" t="s">
        <v>836</v>
      </c>
      <c r="B267" t="s">
        <v>837</v>
      </c>
      <c r="C267" t="s">
        <v>16</v>
      </c>
      <c r="D267" t="s">
        <v>23</v>
      </c>
      <c r="E267" s="2">
        <v>-1580.82</v>
      </c>
      <c r="F267" s="3"/>
      <c r="G267" s="3"/>
      <c r="H267" s="3"/>
      <c r="I267" s="2">
        <v>2</v>
      </c>
      <c r="L267" t="s">
        <v>39</v>
      </c>
      <c r="M267" t="s">
        <v>19</v>
      </c>
      <c r="N267" t="s">
        <v>20</v>
      </c>
    </row>
    <row r="268" spans="1:14">
      <c r="A268" t="s">
        <v>840</v>
      </c>
      <c r="B268" t="s">
        <v>841</v>
      </c>
      <c r="C268" t="s">
        <v>16</v>
      </c>
      <c r="D268" t="s">
        <v>23</v>
      </c>
      <c r="E268" s="2">
        <v>1600</v>
      </c>
      <c r="F268" s="3"/>
      <c r="G268" s="3"/>
      <c r="H268" s="3"/>
      <c r="I268" s="2">
        <v>2</v>
      </c>
      <c r="J268">
        <v>19</v>
      </c>
      <c r="K268">
        <v>14</v>
      </c>
      <c r="L268" t="s">
        <v>24</v>
      </c>
      <c r="M268" t="s">
        <v>20</v>
      </c>
      <c r="N268" t="s">
        <v>19</v>
      </c>
    </row>
    <row r="269" spans="1:14">
      <c r="A269" t="s">
        <v>849</v>
      </c>
      <c r="B269" t="s">
        <v>850</v>
      </c>
      <c r="C269" t="s">
        <v>16</v>
      </c>
      <c r="D269" t="s">
        <v>23</v>
      </c>
      <c r="E269" s="2">
        <v>598</v>
      </c>
      <c r="F269" s="3"/>
      <c r="G269" s="3"/>
      <c r="H269" s="3"/>
      <c r="I269" s="2">
        <v>2</v>
      </c>
      <c r="J269">
        <v>86</v>
      </c>
      <c r="K269">
        <v>60</v>
      </c>
      <c r="L269" t="s">
        <v>18</v>
      </c>
      <c r="M269" t="s">
        <v>19</v>
      </c>
      <c r="N269" t="s">
        <v>20</v>
      </c>
    </row>
    <row r="270" spans="1:14">
      <c r="A270" t="s">
        <v>851</v>
      </c>
      <c r="B270" t="s">
        <v>852</v>
      </c>
      <c r="C270" t="s">
        <v>16</v>
      </c>
      <c r="D270" t="s">
        <v>23</v>
      </c>
      <c r="E270" s="2">
        <v>16261.49</v>
      </c>
      <c r="F270" s="3"/>
      <c r="G270" s="3">
        <v>1</v>
      </c>
      <c r="H270" s="3">
        <v>1</v>
      </c>
      <c r="I270" s="2">
        <v>2</v>
      </c>
      <c r="J270">
        <v>45.61706953052888</v>
      </c>
      <c r="K270">
        <v>45</v>
      </c>
      <c r="L270" t="s">
        <v>39</v>
      </c>
      <c r="M270" t="s">
        <v>19</v>
      </c>
      <c r="N270" t="s">
        <v>20</v>
      </c>
    </row>
    <row r="271" spans="1:14">
      <c r="A271" t="s">
        <v>859</v>
      </c>
      <c r="B271" t="s">
        <v>860</v>
      </c>
      <c r="C271" t="s">
        <v>16</v>
      </c>
      <c r="D271" t="s">
        <v>23</v>
      </c>
      <c r="E271" s="2">
        <v>44706.749999999993</v>
      </c>
      <c r="F271" s="3"/>
      <c r="G271" s="3"/>
      <c r="H271" s="3"/>
      <c r="I271" s="2">
        <v>2</v>
      </c>
      <c r="J271">
        <v>34.348524327981799</v>
      </c>
      <c r="K271">
        <v>30.000000000000011</v>
      </c>
      <c r="L271" t="s">
        <v>34</v>
      </c>
      <c r="M271" t="s">
        <v>19</v>
      </c>
      <c r="N271" t="s">
        <v>19</v>
      </c>
    </row>
    <row r="272" spans="1:14">
      <c r="A272" t="s">
        <v>861</v>
      </c>
      <c r="B272" t="s">
        <v>862</v>
      </c>
      <c r="C272" t="s">
        <v>16</v>
      </c>
      <c r="D272" t="s">
        <v>23</v>
      </c>
      <c r="E272" s="2">
        <v>92857.290000000008</v>
      </c>
      <c r="F272" s="3"/>
      <c r="G272" s="3"/>
      <c r="H272" s="3"/>
      <c r="I272" s="2">
        <v>2</v>
      </c>
      <c r="J272">
        <v>38.882000756214183</v>
      </c>
      <c r="K272">
        <v>30</v>
      </c>
      <c r="L272" t="s">
        <v>34</v>
      </c>
      <c r="M272" t="s">
        <v>19</v>
      </c>
      <c r="N272" t="s">
        <v>20</v>
      </c>
    </row>
    <row r="273" spans="1:14">
      <c r="A273" t="s">
        <v>867</v>
      </c>
      <c r="B273" t="s">
        <v>868</v>
      </c>
      <c r="C273" t="s">
        <v>16</v>
      </c>
      <c r="D273" t="s">
        <v>23</v>
      </c>
      <c r="E273" s="2">
        <v>10100</v>
      </c>
      <c r="F273" s="3"/>
      <c r="G273" s="3"/>
      <c r="H273" s="3"/>
      <c r="I273" s="2">
        <v>2</v>
      </c>
      <c r="J273">
        <v>45.613861386138616</v>
      </c>
      <c r="K273">
        <v>30</v>
      </c>
      <c r="L273" t="s">
        <v>34</v>
      </c>
      <c r="M273" t="s">
        <v>20</v>
      </c>
      <c r="N273" t="s">
        <v>20</v>
      </c>
    </row>
    <row r="274" spans="1:14">
      <c r="A274" t="s">
        <v>873</v>
      </c>
      <c r="B274" t="s">
        <v>874</v>
      </c>
      <c r="C274" t="s">
        <v>16</v>
      </c>
      <c r="D274" t="s">
        <v>23</v>
      </c>
      <c r="E274" s="2">
        <v>2380</v>
      </c>
      <c r="F274" s="3"/>
      <c r="G274" s="3"/>
      <c r="H274" s="3"/>
      <c r="I274" s="2">
        <v>2</v>
      </c>
      <c r="J274">
        <v>58.411764705882355</v>
      </c>
      <c r="K274">
        <v>45</v>
      </c>
      <c r="L274" t="s">
        <v>39</v>
      </c>
      <c r="M274" t="s">
        <v>20</v>
      </c>
      <c r="N274" t="s">
        <v>19</v>
      </c>
    </row>
    <row r="275" spans="1:14">
      <c r="A275" t="s">
        <v>926</v>
      </c>
      <c r="B275" t="s">
        <v>927</v>
      </c>
      <c r="C275" t="s">
        <v>16</v>
      </c>
      <c r="D275" t="s">
        <v>23</v>
      </c>
      <c r="E275" s="2">
        <v>4000</v>
      </c>
      <c r="F275" s="3"/>
      <c r="G275" s="3"/>
      <c r="H275" s="3"/>
      <c r="I275" s="2">
        <v>1</v>
      </c>
      <c r="J275">
        <v>11</v>
      </c>
      <c r="K275">
        <v>0</v>
      </c>
      <c r="L275" t="s">
        <v>34</v>
      </c>
      <c r="M275" t="s">
        <v>19</v>
      </c>
      <c r="N275" t="s">
        <v>20</v>
      </c>
    </row>
    <row r="276" spans="1:14">
      <c r="A276" t="s">
        <v>932</v>
      </c>
      <c r="B276" t="s">
        <v>933</v>
      </c>
      <c r="C276" t="s">
        <v>16</v>
      </c>
      <c r="D276" t="s">
        <v>23</v>
      </c>
      <c r="E276" s="2">
        <v>82261.62</v>
      </c>
      <c r="F276" s="3"/>
      <c r="G276" s="3"/>
      <c r="H276" s="3"/>
      <c r="I276" s="2">
        <v>1</v>
      </c>
      <c r="J276">
        <v>145</v>
      </c>
      <c r="K276">
        <v>45</v>
      </c>
      <c r="L276" t="s">
        <v>39</v>
      </c>
      <c r="M276" t="s">
        <v>19</v>
      </c>
      <c r="N276" t="s">
        <v>20</v>
      </c>
    </row>
    <row r="277" spans="1:14">
      <c r="A277" t="s">
        <v>940</v>
      </c>
      <c r="B277" t="s">
        <v>941</v>
      </c>
      <c r="C277" t="s">
        <v>16</v>
      </c>
      <c r="D277" t="s">
        <v>23</v>
      </c>
      <c r="E277" s="2">
        <v>2675</v>
      </c>
      <c r="F277" s="3"/>
      <c r="G277" s="3"/>
      <c r="H277" s="3"/>
      <c r="I277" s="2">
        <v>1</v>
      </c>
      <c r="J277">
        <v>44</v>
      </c>
      <c r="K277">
        <v>45</v>
      </c>
      <c r="L277" t="s">
        <v>39</v>
      </c>
      <c r="M277" t="s">
        <v>19</v>
      </c>
      <c r="N277" t="s">
        <v>20</v>
      </c>
    </row>
    <row r="278" spans="1:14">
      <c r="A278" t="s">
        <v>944</v>
      </c>
      <c r="B278" t="s">
        <v>945</v>
      </c>
      <c r="C278" t="s">
        <v>16</v>
      </c>
      <c r="D278" t="s">
        <v>23</v>
      </c>
      <c r="E278" s="2">
        <v>590.82000000000005</v>
      </c>
      <c r="F278" s="3"/>
      <c r="G278" s="3"/>
      <c r="H278" s="3"/>
      <c r="I278" s="2">
        <v>1</v>
      </c>
      <c r="J278">
        <v>67</v>
      </c>
      <c r="K278">
        <v>10</v>
      </c>
      <c r="L278" t="s">
        <v>428</v>
      </c>
      <c r="M278" t="s">
        <v>19</v>
      </c>
      <c r="N278" t="s">
        <v>20</v>
      </c>
    </row>
    <row r="279" spans="1:14">
      <c r="A279" t="s">
        <v>950</v>
      </c>
      <c r="B279" t="s">
        <v>951</v>
      </c>
      <c r="C279" t="s">
        <v>16</v>
      </c>
      <c r="D279" t="s">
        <v>23</v>
      </c>
      <c r="E279" s="2">
        <v>7167.21</v>
      </c>
      <c r="F279" s="3"/>
      <c r="G279" s="3"/>
      <c r="H279" s="3"/>
      <c r="I279" s="2">
        <v>1</v>
      </c>
      <c r="J279">
        <v>69</v>
      </c>
      <c r="K279">
        <v>29.999999999999996</v>
      </c>
      <c r="L279" t="s">
        <v>34</v>
      </c>
      <c r="M279" t="s">
        <v>19</v>
      </c>
      <c r="N279" t="s">
        <v>20</v>
      </c>
    </row>
    <row r="280" spans="1:14">
      <c r="A280" t="s">
        <v>964</v>
      </c>
      <c r="B280" t="s">
        <v>965</v>
      </c>
      <c r="C280" t="s">
        <v>16</v>
      </c>
      <c r="D280" t="s">
        <v>23</v>
      </c>
      <c r="E280" s="2">
        <v>500</v>
      </c>
      <c r="F280" s="3"/>
      <c r="G280" s="3"/>
      <c r="H280" s="3"/>
      <c r="I280" s="2">
        <v>1</v>
      </c>
      <c r="J280">
        <v>21</v>
      </c>
      <c r="K280">
        <v>30</v>
      </c>
      <c r="L280" t="s">
        <v>34</v>
      </c>
      <c r="M280" t="s">
        <v>19</v>
      </c>
      <c r="N280" t="s">
        <v>20</v>
      </c>
    </row>
    <row r="281" spans="1:14">
      <c r="A281" t="s">
        <v>988</v>
      </c>
      <c r="B281" t="s">
        <v>989</v>
      </c>
      <c r="C281" t="s">
        <v>16</v>
      </c>
      <c r="D281" t="s">
        <v>23</v>
      </c>
      <c r="E281" s="2">
        <v>5155.5</v>
      </c>
      <c r="F281" s="3"/>
      <c r="G281" s="3"/>
      <c r="H281" s="3"/>
      <c r="I281" s="2">
        <v>1</v>
      </c>
      <c r="J281">
        <v>146</v>
      </c>
      <c r="K281">
        <v>14</v>
      </c>
      <c r="L281" t="s">
        <v>34</v>
      </c>
      <c r="M281" t="s">
        <v>19</v>
      </c>
      <c r="N281" t="s">
        <v>20</v>
      </c>
    </row>
    <row r="282" spans="1:14">
      <c r="A282" t="s">
        <v>1001</v>
      </c>
      <c r="B282" t="s">
        <v>1002</v>
      </c>
      <c r="C282" t="s">
        <v>16</v>
      </c>
      <c r="D282" t="s">
        <v>23</v>
      </c>
      <c r="E282" s="2">
        <v>1500</v>
      </c>
      <c r="F282" s="3"/>
      <c r="G282" s="3">
        <v>1</v>
      </c>
      <c r="H282" s="3">
        <v>1</v>
      </c>
      <c r="I282" s="2">
        <v>1</v>
      </c>
      <c r="J282">
        <v>33</v>
      </c>
      <c r="K282">
        <v>30</v>
      </c>
      <c r="L282" t="s">
        <v>34</v>
      </c>
      <c r="M282" t="s">
        <v>19</v>
      </c>
      <c r="N282" t="s">
        <v>20</v>
      </c>
    </row>
    <row r="283" spans="1:14">
      <c r="A283" t="s">
        <v>1013</v>
      </c>
      <c r="B283" t="s">
        <v>1014</v>
      </c>
      <c r="C283" t="s">
        <v>16</v>
      </c>
      <c r="D283" t="s">
        <v>23</v>
      </c>
      <c r="E283" s="2">
        <v>198.02</v>
      </c>
      <c r="F283" s="3"/>
      <c r="G283" s="3"/>
      <c r="H283" s="3"/>
      <c r="I283" s="2">
        <v>1</v>
      </c>
      <c r="J283">
        <v>35</v>
      </c>
      <c r="K283">
        <v>14</v>
      </c>
      <c r="L283" t="s">
        <v>18</v>
      </c>
      <c r="M283" t="s">
        <v>19</v>
      </c>
      <c r="N283" t="s">
        <v>19</v>
      </c>
    </row>
    <row r="284" spans="1:14">
      <c r="A284" t="s">
        <v>1025</v>
      </c>
      <c r="B284" t="s">
        <v>1026</v>
      </c>
      <c r="C284" t="s">
        <v>16</v>
      </c>
      <c r="D284" t="s">
        <v>23</v>
      </c>
      <c r="E284" s="2">
        <v>15105</v>
      </c>
      <c r="F284" s="3"/>
      <c r="G284" s="3"/>
      <c r="H284" s="3"/>
      <c r="I284" s="2">
        <v>1</v>
      </c>
      <c r="J284">
        <v>30</v>
      </c>
      <c r="K284">
        <v>14</v>
      </c>
      <c r="L284" t="s">
        <v>24</v>
      </c>
      <c r="M284" t="s">
        <v>19</v>
      </c>
      <c r="N284" t="s">
        <v>20</v>
      </c>
    </row>
    <row r="285" spans="1:14">
      <c r="A285" t="s">
        <v>1031</v>
      </c>
      <c r="B285" t="s">
        <v>1032</v>
      </c>
      <c r="C285" t="s">
        <v>16</v>
      </c>
      <c r="D285" t="s">
        <v>23</v>
      </c>
      <c r="E285" s="2">
        <v>9000</v>
      </c>
      <c r="F285" s="3"/>
      <c r="G285" s="3"/>
      <c r="H285" s="3"/>
      <c r="I285" s="2">
        <v>1</v>
      </c>
      <c r="J285">
        <v>131</v>
      </c>
      <c r="K285">
        <v>14</v>
      </c>
      <c r="L285" t="s">
        <v>39</v>
      </c>
      <c r="M285" t="s">
        <v>19</v>
      </c>
      <c r="N285" t="s">
        <v>20</v>
      </c>
    </row>
    <row r="286" spans="1:14">
      <c r="A286" t="s">
        <v>1033</v>
      </c>
      <c r="B286" t="s">
        <v>1034</v>
      </c>
      <c r="C286" t="s">
        <v>16</v>
      </c>
      <c r="D286" t="s">
        <v>23</v>
      </c>
      <c r="E286" s="2">
        <v>45491.11</v>
      </c>
      <c r="F286" s="3"/>
      <c r="G286" s="3"/>
      <c r="H286" s="3"/>
      <c r="I286" s="2">
        <v>1</v>
      </c>
      <c r="J286">
        <v>208.00000000000003</v>
      </c>
      <c r="K286">
        <v>14</v>
      </c>
      <c r="L286" t="s">
        <v>18</v>
      </c>
      <c r="M286" t="s">
        <v>19</v>
      </c>
      <c r="N286" t="s">
        <v>20</v>
      </c>
    </row>
    <row r="287" spans="1:14">
      <c r="A287" t="s">
        <v>1035</v>
      </c>
      <c r="B287" t="s">
        <v>1036</v>
      </c>
      <c r="C287" t="s">
        <v>16</v>
      </c>
      <c r="D287" t="s">
        <v>23</v>
      </c>
      <c r="E287" s="2">
        <v>24764.080000000002</v>
      </c>
      <c r="F287" s="3"/>
      <c r="G287" s="3"/>
      <c r="H287" s="3"/>
      <c r="I287" s="2">
        <v>1</v>
      </c>
      <c r="J287">
        <v>54</v>
      </c>
      <c r="K287">
        <v>13.999999999999998</v>
      </c>
      <c r="L287" t="s">
        <v>18</v>
      </c>
      <c r="M287" t="s">
        <v>19</v>
      </c>
      <c r="N287" t="s">
        <v>20</v>
      </c>
    </row>
    <row r="288" spans="1:14">
      <c r="A288" t="s">
        <v>1040</v>
      </c>
      <c r="B288" t="s">
        <v>1041</v>
      </c>
      <c r="C288" t="s">
        <v>16</v>
      </c>
      <c r="D288" t="s">
        <v>23</v>
      </c>
      <c r="E288" s="2">
        <v>1000</v>
      </c>
      <c r="F288" s="3"/>
      <c r="G288" s="3"/>
      <c r="H288" s="3"/>
      <c r="I288" s="2">
        <v>1</v>
      </c>
      <c r="J288">
        <v>34</v>
      </c>
      <c r="K288">
        <v>30</v>
      </c>
      <c r="L288" t="s">
        <v>18</v>
      </c>
      <c r="M288" t="s">
        <v>20</v>
      </c>
      <c r="N288" t="s">
        <v>20</v>
      </c>
    </row>
    <row r="289" spans="1:14">
      <c r="A289" t="s">
        <v>1044</v>
      </c>
      <c r="B289" t="s">
        <v>1045</v>
      </c>
      <c r="C289" t="s">
        <v>16</v>
      </c>
      <c r="D289" t="s">
        <v>23</v>
      </c>
      <c r="E289" s="2">
        <v>3104.84</v>
      </c>
      <c r="F289" s="3"/>
      <c r="G289" s="3"/>
      <c r="H289" s="3"/>
      <c r="I289" s="2">
        <v>1</v>
      </c>
      <c r="J289">
        <v>49</v>
      </c>
      <c r="K289">
        <v>30.000000000000004</v>
      </c>
      <c r="L289" t="s">
        <v>34</v>
      </c>
      <c r="M289" t="s">
        <v>19</v>
      </c>
      <c r="N289" t="s">
        <v>20</v>
      </c>
    </row>
    <row r="290" spans="1:14">
      <c r="A290" t="s">
        <v>1046</v>
      </c>
      <c r="B290" t="s">
        <v>1047</v>
      </c>
      <c r="C290" t="s">
        <v>16</v>
      </c>
      <c r="D290" t="s">
        <v>23</v>
      </c>
      <c r="E290" s="2">
        <v>3693.28</v>
      </c>
      <c r="F290" s="3"/>
      <c r="G290" s="3"/>
      <c r="H290" s="3"/>
      <c r="I290" s="2">
        <v>1</v>
      </c>
      <c r="J290">
        <v>12</v>
      </c>
      <c r="K290">
        <v>14</v>
      </c>
      <c r="L290" t="s">
        <v>18</v>
      </c>
      <c r="M290" t="s">
        <v>20</v>
      </c>
      <c r="N290" t="s">
        <v>19</v>
      </c>
    </row>
    <row r="291" spans="1:14">
      <c r="A291" t="s">
        <v>1052</v>
      </c>
      <c r="B291" t="s">
        <v>1053</v>
      </c>
      <c r="C291" t="s">
        <v>16</v>
      </c>
      <c r="D291" t="s">
        <v>23</v>
      </c>
      <c r="E291" s="2">
        <v>26249.78</v>
      </c>
      <c r="F291" s="3"/>
      <c r="G291" s="3"/>
      <c r="H291" s="3"/>
      <c r="I291" s="2">
        <v>1</v>
      </c>
      <c r="J291">
        <v>54</v>
      </c>
      <c r="K291">
        <v>45</v>
      </c>
      <c r="L291" t="s">
        <v>153</v>
      </c>
      <c r="M291" t="s">
        <v>20</v>
      </c>
      <c r="N291" t="s">
        <v>20</v>
      </c>
    </row>
    <row r="292" spans="1:14">
      <c r="A292" t="s">
        <v>1054</v>
      </c>
      <c r="B292" t="s">
        <v>1055</v>
      </c>
      <c r="C292" t="s">
        <v>16</v>
      </c>
      <c r="D292" t="s">
        <v>23</v>
      </c>
      <c r="E292" s="2">
        <v>1054.1300000000001</v>
      </c>
      <c r="F292" s="3"/>
      <c r="G292" s="3"/>
      <c r="H292" s="3"/>
      <c r="I292" s="2">
        <v>1</v>
      </c>
      <c r="J292">
        <v>129</v>
      </c>
      <c r="K292">
        <v>30</v>
      </c>
      <c r="L292" t="s">
        <v>34</v>
      </c>
      <c r="M292" t="s">
        <v>19</v>
      </c>
      <c r="N292" t="s">
        <v>20</v>
      </c>
    </row>
    <row r="293" spans="1:14">
      <c r="A293" t="s">
        <v>1060</v>
      </c>
      <c r="B293" t="s">
        <v>1061</v>
      </c>
      <c r="C293" t="s">
        <v>16</v>
      </c>
      <c r="D293" t="s">
        <v>23</v>
      </c>
      <c r="E293" s="2">
        <v>8000</v>
      </c>
      <c r="F293" s="3"/>
      <c r="G293" s="3"/>
      <c r="H293" s="3"/>
      <c r="I293" s="2">
        <v>1</v>
      </c>
      <c r="J293">
        <v>46</v>
      </c>
      <c r="K293">
        <v>45</v>
      </c>
      <c r="L293" t="s">
        <v>18</v>
      </c>
      <c r="M293" t="s">
        <v>19</v>
      </c>
      <c r="N293" t="s">
        <v>20</v>
      </c>
    </row>
    <row r="294" spans="1:14">
      <c r="A294" t="s">
        <v>1062</v>
      </c>
      <c r="B294" t="s">
        <v>1063</v>
      </c>
      <c r="C294" t="s">
        <v>16</v>
      </c>
      <c r="D294" t="s">
        <v>23</v>
      </c>
      <c r="E294" s="2">
        <v>109.92</v>
      </c>
      <c r="F294" s="3"/>
      <c r="G294" s="3"/>
      <c r="H294" s="3"/>
      <c r="I294" s="2">
        <v>1</v>
      </c>
      <c r="J294">
        <v>76</v>
      </c>
      <c r="K294">
        <v>30</v>
      </c>
      <c r="L294" t="s">
        <v>34</v>
      </c>
      <c r="M294" t="s">
        <v>19</v>
      </c>
      <c r="N294" t="s">
        <v>20</v>
      </c>
    </row>
    <row r="295" spans="1:14">
      <c r="A295" t="s">
        <v>1064</v>
      </c>
      <c r="B295" t="s">
        <v>1065</v>
      </c>
      <c r="C295" t="s">
        <v>16</v>
      </c>
      <c r="D295" t="s">
        <v>23</v>
      </c>
      <c r="E295" s="2">
        <v>1645</v>
      </c>
      <c r="F295" s="3"/>
      <c r="G295" s="3"/>
      <c r="H295" s="3"/>
      <c r="I295" s="2">
        <v>1</v>
      </c>
      <c r="J295">
        <v>25</v>
      </c>
      <c r="K295">
        <v>30</v>
      </c>
      <c r="L295" t="s">
        <v>18</v>
      </c>
      <c r="M295" t="s">
        <v>19</v>
      </c>
      <c r="N295" t="s">
        <v>20</v>
      </c>
    </row>
    <row r="296" spans="1:14">
      <c r="A296" t="s">
        <v>1082</v>
      </c>
      <c r="B296" t="s">
        <v>1083</v>
      </c>
      <c r="C296" t="s">
        <v>16</v>
      </c>
      <c r="D296" t="s">
        <v>23</v>
      </c>
      <c r="E296" s="2">
        <v>1500</v>
      </c>
      <c r="F296" s="3"/>
      <c r="G296" s="3"/>
      <c r="H296" s="3"/>
      <c r="I296" s="2">
        <v>1</v>
      </c>
      <c r="J296">
        <v>628</v>
      </c>
      <c r="K296">
        <v>60</v>
      </c>
      <c r="L296" t="s">
        <v>18</v>
      </c>
      <c r="M296" t="s">
        <v>19</v>
      </c>
      <c r="N296" t="s">
        <v>20</v>
      </c>
    </row>
    <row r="297" spans="1:14">
      <c r="A297" t="s">
        <v>1086</v>
      </c>
      <c r="B297" t="s">
        <v>1087</v>
      </c>
      <c r="C297" t="s">
        <v>16</v>
      </c>
      <c r="D297" t="s">
        <v>23</v>
      </c>
      <c r="E297" s="2">
        <v>13746.86</v>
      </c>
      <c r="F297" s="3"/>
      <c r="G297" s="3">
        <v>1</v>
      </c>
      <c r="H297" s="3">
        <v>1</v>
      </c>
      <c r="I297" s="2">
        <v>1</v>
      </c>
      <c r="J297">
        <v>49</v>
      </c>
      <c r="K297">
        <v>45</v>
      </c>
      <c r="L297" t="s">
        <v>39</v>
      </c>
      <c r="M297" t="s">
        <v>19</v>
      </c>
      <c r="N297" t="s">
        <v>20</v>
      </c>
    </row>
    <row r="298" spans="1:14">
      <c r="A298" t="s">
        <v>1088</v>
      </c>
      <c r="B298" t="s">
        <v>1089</v>
      </c>
      <c r="C298" t="s">
        <v>16</v>
      </c>
      <c r="D298" t="s">
        <v>23</v>
      </c>
      <c r="E298" s="2">
        <v>3500</v>
      </c>
      <c r="F298" s="3"/>
      <c r="G298" s="3"/>
      <c r="H298" s="3"/>
      <c r="I298" s="2">
        <v>1</v>
      </c>
      <c r="J298">
        <v>15</v>
      </c>
      <c r="K298">
        <v>0</v>
      </c>
      <c r="L298" t="s">
        <v>34</v>
      </c>
      <c r="M298" t="s">
        <v>19</v>
      </c>
      <c r="N298" t="s">
        <v>20</v>
      </c>
    </row>
    <row r="299" spans="1:14">
      <c r="A299" t="s">
        <v>1102</v>
      </c>
      <c r="B299" t="s">
        <v>1103</v>
      </c>
      <c r="C299" t="s">
        <v>16</v>
      </c>
      <c r="D299" t="s">
        <v>23</v>
      </c>
      <c r="E299" s="2">
        <v>5502.84</v>
      </c>
      <c r="F299" s="3"/>
      <c r="G299" s="3"/>
      <c r="H299" s="3"/>
      <c r="I299" s="2">
        <v>1</v>
      </c>
      <c r="J299">
        <v>32</v>
      </c>
      <c r="K299">
        <v>10</v>
      </c>
      <c r="L299" t="s">
        <v>428</v>
      </c>
      <c r="M299" t="s">
        <v>19</v>
      </c>
      <c r="N299" t="s">
        <v>20</v>
      </c>
    </row>
    <row r="300" spans="1:14">
      <c r="A300" t="s">
        <v>1106</v>
      </c>
      <c r="B300" t="s">
        <v>1107</v>
      </c>
      <c r="C300" t="s">
        <v>16</v>
      </c>
      <c r="D300" t="s">
        <v>23</v>
      </c>
      <c r="E300" s="2">
        <v>106140</v>
      </c>
      <c r="F300" s="3"/>
      <c r="G300" s="3"/>
      <c r="H300" s="3"/>
      <c r="I300" s="2">
        <v>1</v>
      </c>
      <c r="J300">
        <v>44</v>
      </c>
      <c r="K300">
        <v>45</v>
      </c>
      <c r="L300" t="s">
        <v>39</v>
      </c>
      <c r="M300" t="s">
        <v>19</v>
      </c>
      <c r="N300" t="s">
        <v>20</v>
      </c>
    </row>
    <row r="301" spans="1:14">
      <c r="A301" t="s">
        <v>1110</v>
      </c>
      <c r="B301" t="s">
        <v>1111</v>
      </c>
      <c r="C301" t="s">
        <v>16</v>
      </c>
      <c r="D301" t="s">
        <v>23</v>
      </c>
      <c r="E301" s="2">
        <v>1461</v>
      </c>
      <c r="F301" s="3"/>
      <c r="G301" s="3"/>
      <c r="H301" s="3"/>
      <c r="I301" s="2">
        <v>1</v>
      </c>
      <c r="J301">
        <v>75</v>
      </c>
      <c r="K301">
        <v>30</v>
      </c>
      <c r="L301" t="s">
        <v>34</v>
      </c>
      <c r="M301" t="s">
        <v>19</v>
      </c>
      <c r="N301" t="s">
        <v>20</v>
      </c>
    </row>
    <row r="302" spans="1:14">
      <c r="A302" t="s">
        <v>1112</v>
      </c>
      <c r="B302" t="s">
        <v>1113</v>
      </c>
      <c r="C302" t="s">
        <v>16</v>
      </c>
      <c r="D302" t="s">
        <v>23</v>
      </c>
      <c r="E302" s="2">
        <v>13357</v>
      </c>
      <c r="F302" s="3"/>
      <c r="G302" s="3">
        <v>1</v>
      </c>
      <c r="H302" s="3">
        <v>1</v>
      </c>
      <c r="I302" s="2">
        <v>1</v>
      </c>
      <c r="J302">
        <v>93</v>
      </c>
      <c r="K302">
        <v>30</v>
      </c>
      <c r="L302" t="s">
        <v>34</v>
      </c>
      <c r="M302" t="s">
        <v>19</v>
      </c>
      <c r="N302" t="s">
        <v>20</v>
      </c>
    </row>
    <row r="303" spans="1:14">
      <c r="A303" t="s">
        <v>1120</v>
      </c>
      <c r="B303" t="s">
        <v>1121</v>
      </c>
      <c r="C303" t="s">
        <v>16</v>
      </c>
      <c r="D303" t="s">
        <v>23</v>
      </c>
      <c r="E303" s="2">
        <v>15018</v>
      </c>
      <c r="F303" s="3"/>
      <c r="G303" s="3"/>
      <c r="H303" s="3"/>
      <c r="I303" s="2">
        <v>1</v>
      </c>
      <c r="J303">
        <v>51</v>
      </c>
      <c r="K303">
        <v>14</v>
      </c>
      <c r="L303" t="s">
        <v>24</v>
      </c>
      <c r="M303" t="s">
        <v>19</v>
      </c>
      <c r="N303" t="s">
        <v>20</v>
      </c>
    </row>
    <row r="304" spans="1:14">
      <c r="A304" t="s">
        <v>1138</v>
      </c>
      <c r="B304" t="s">
        <v>1139</v>
      </c>
      <c r="C304" t="s">
        <v>16</v>
      </c>
      <c r="D304" t="s">
        <v>23</v>
      </c>
      <c r="E304" s="2">
        <v>6000</v>
      </c>
      <c r="F304" s="3"/>
      <c r="G304" s="3">
        <v>1</v>
      </c>
      <c r="H304" s="3">
        <v>1</v>
      </c>
      <c r="I304" s="2">
        <v>1</v>
      </c>
      <c r="J304">
        <v>27</v>
      </c>
      <c r="K304">
        <v>30</v>
      </c>
      <c r="L304" t="s">
        <v>39</v>
      </c>
      <c r="M304" t="s">
        <v>19</v>
      </c>
      <c r="N304" t="s">
        <v>20</v>
      </c>
    </row>
    <row r="305" spans="1:14">
      <c r="A305" t="s">
        <v>1140</v>
      </c>
      <c r="B305" t="s">
        <v>1141</v>
      </c>
      <c r="C305" t="s">
        <v>16</v>
      </c>
      <c r="D305" t="s">
        <v>23</v>
      </c>
      <c r="E305" s="2">
        <v>4875.5</v>
      </c>
      <c r="F305" s="3"/>
      <c r="G305" s="3"/>
      <c r="H305" s="3"/>
      <c r="I305" s="2">
        <v>1</v>
      </c>
      <c r="J305">
        <v>37</v>
      </c>
      <c r="K305">
        <v>14</v>
      </c>
      <c r="L305" t="s">
        <v>39</v>
      </c>
      <c r="M305" t="s">
        <v>19</v>
      </c>
      <c r="N305" t="s">
        <v>20</v>
      </c>
    </row>
    <row r="306" spans="1:14">
      <c r="A306" t="s">
        <v>1146</v>
      </c>
      <c r="B306" t="s">
        <v>1147</v>
      </c>
      <c r="C306" t="s">
        <v>16</v>
      </c>
      <c r="D306" t="s">
        <v>23</v>
      </c>
      <c r="E306" s="2">
        <v>7600</v>
      </c>
      <c r="F306" s="3"/>
      <c r="G306" s="3"/>
      <c r="H306" s="3"/>
      <c r="I306" s="2">
        <v>1</v>
      </c>
      <c r="J306">
        <v>21</v>
      </c>
      <c r="K306">
        <v>14</v>
      </c>
      <c r="L306" t="s">
        <v>39</v>
      </c>
      <c r="M306" t="s">
        <v>20</v>
      </c>
      <c r="N306" t="s">
        <v>19</v>
      </c>
    </row>
    <row r="307" spans="1:14">
      <c r="A307" t="s">
        <v>1148</v>
      </c>
      <c r="B307" t="s">
        <v>1149</v>
      </c>
      <c r="C307" t="s">
        <v>16</v>
      </c>
      <c r="D307" t="s">
        <v>23</v>
      </c>
      <c r="E307" s="2">
        <v>1792.5</v>
      </c>
      <c r="F307" s="3"/>
      <c r="G307" s="3"/>
      <c r="H307" s="3"/>
      <c r="I307" s="2">
        <v>1</v>
      </c>
      <c r="J307">
        <v>68</v>
      </c>
      <c r="K307">
        <v>20</v>
      </c>
      <c r="L307" t="s">
        <v>18</v>
      </c>
      <c r="M307" t="s">
        <v>19</v>
      </c>
      <c r="N307" t="s">
        <v>20</v>
      </c>
    </row>
    <row r="308" spans="1:14">
      <c r="A308" t="s">
        <v>1156</v>
      </c>
      <c r="B308" t="s">
        <v>1157</v>
      </c>
      <c r="C308" t="s">
        <v>16</v>
      </c>
      <c r="D308" t="s">
        <v>23</v>
      </c>
      <c r="E308" s="2">
        <v>413.64</v>
      </c>
      <c r="F308" s="3"/>
      <c r="G308" s="3"/>
      <c r="H308" s="3"/>
      <c r="I308" s="2">
        <v>1</v>
      </c>
      <c r="J308">
        <v>139</v>
      </c>
      <c r="K308">
        <v>60</v>
      </c>
      <c r="L308" t="s">
        <v>18</v>
      </c>
      <c r="M308" t="s">
        <v>19</v>
      </c>
      <c r="N308" t="s">
        <v>20</v>
      </c>
    </row>
    <row r="309" spans="1:14">
      <c r="A309" t="s">
        <v>1166</v>
      </c>
      <c r="B309" t="s">
        <v>1167</v>
      </c>
      <c r="C309" t="s">
        <v>16</v>
      </c>
      <c r="D309" t="s">
        <v>23</v>
      </c>
      <c r="E309" s="2">
        <v>177.42</v>
      </c>
      <c r="F309" s="3"/>
      <c r="G309" s="3"/>
      <c r="H309" s="3"/>
      <c r="I309" s="2">
        <v>1</v>
      </c>
      <c r="J309">
        <v>76</v>
      </c>
      <c r="K309">
        <v>60</v>
      </c>
      <c r="L309" t="s">
        <v>18</v>
      </c>
      <c r="M309" t="s">
        <v>19</v>
      </c>
      <c r="N309" t="s">
        <v>20</v>
      </c>
    </row>
    <row r="310" spans="1:14">
      <c r="A310" t="s">
        <v>1174</v>
      </c>
      <c r="B310" t="s">
        <v>1175</v>
      </c>
      <c r="C310" t="s">
        <v>16</v>
      </c>
      <c r="D310" t="s">
        <v>23</v>
      </c>
      <c r="E310" s="2">
        <v>344</v>
      </c>
      <c r="F310" s="3"/>
      <c r="G310" s="3"/>
      <c r="H310" s="3"/>
      <c r="I310" s="2">
        <v>1</v>
      </c>
      <c r="J310">
        <v>75</v>
      </c>
      <c r="K310">
        <v>60</v>
      </c>
      <c r="L310" t="s">
        <v>18</v>
      </c>
      <c r="M310" t="s">
        <v>19</v>
      </c>
      <c r="N310" t="s">
        <v>20</v>
      </c>
    </row>
    <row r="311" spans="1:14">
      <c r="A311" t="s">
        <v>1180</v>
      </c>
      <c r="B311" t="s">
        <v>1181</v>
      </c>
      <c r="C311" t="s">
        <v>16</v>
      </c>
      <c r="D311" t="s">
        <v>23</v>
      </c>
      <c r="E311" s="2">
        <v>712.5</v>
      </c>
      <c r="F311" s="3"/>
      <c r="G311" s="3"/>
      <c r="H311" s="3"/>
      <c r="I311" s="2">
        <v>1</v>
      </c>
      <c r="J311">
        <v>306</v>
      </c>
      <c r="K311">
        <v>60</v>
      </c>
      <c r="L311" t="s">
        <v>18</v>
      </c>
      <c r="M311" t="s">
        <v>19</v>
      </c>
      <c r="N311" t="s">
        <v>20</v>
      </c>
    </row>
    <row r="312" spans="1:14">
      <c r="A312" t="s">
        <v>1184</v>
      </c>
      <c r="B312" t="s">
        <v>1185</v>
      </c>
      <c r="C312" t="s">
        <v>16</v>
      </c>
      <c r="D312" t="s">
        <v>23</v>
      </c>
      <c r="E312" s="2">
        <v>10433.68</v>
      </c>
      <c r="F312" s="3"/>
      <c r="G312" s="3"/>
      <c r="H312" s="3"/>
      <c r="I312" s="2">
        <v>1</v>
      </c>
      <c r="J312">
        <v>62</v>
      </c>
      <c r="K312">
        <v>60</v>
      </c>
      <c r="L312" t="s">
        <v>18</v>
      </c>
      <c r="M312" t="s">
        <v>19</v>
      </c>
      <c r="N312" t="s">
        <v>20</v>
      </c>
    </row>
    <row r="313" spans="1:14">
      <c r="A313" t="s">
        <v>1186</v>
      </c>
      <c r="B313" t="s">
        <v>1187</v>
      </c>
      <c r="C313" t="s">
        <v>16</v>
      </c>
      <c r="D313" t="s">
        <v>23</v>
      </c>
      <c r="E313" s="2">
        <v>77126.37</v>
      </c>
      <c r="F313" s="3"/>
      <c r="G313" s="3"/>
      <c r="H313" s="3"/>
      <c r="I313" s="2">
        <v>1</v>
      </c>
      <c r="J313">
        <v>58</v>
      </c>
      <c r="K313">
        <v>59.999999999999993</v>
      </c>
      <c r="L313" t="s">
        <v>18</v>
      </c>
      <c r="M313" t="s">
        <v>19</v>
      </c>
      <c r="N313" t="s">
        <v>20</v>
      </c>
    </row>
    <row r="314" spans="1:14">
      <c r="A314" t="s">
        <v>190</v>
      </c>
      <c r="B314" t="s">
        <v>191</v>
      </c>
      <c r="C314" t="s">
        <v>16</v>
      </c>
      <c r="D314" t="s">
        <v>192</v>
      </c>
      <c r="E314" s="2">
        <v>114900</v>
      </c>
      <c r="F314" s="3"/>
      <c r="G314" s="3"/>
      <c r="H314" s="3"/>
      <c r="I314" s="2">
        <v>25</v>
      </c>
      <c r="J314">
        <v>46.526299733767196</v>
      </c>
      <c r="K314">
        <v>43.981215796479809</v>
      </c>
      <c r="L314" t="s">
        <v>39</v>
      </c>
      <c r="M314" t="s">
        <v>20</v>
      </c>
      <c r="N314" t="s">
        <v>20</v>
      </c>
    </row>
    <row r="315" spans="1:14">
      <c r="A315" t="s">
        <v>254</v>
      </c>
      <c r="B315" t="s">
        <v>255</v>
      </c>
      <c r="C315" t="s">
        <v>16</v>
      </c>
      <c r="D315" t="s">
        <v>192</v>
      </c>
      <c r="E315" s="2">
        <v>290940.80000000005</v>
      </c>
      <c r="F315" s="3"/>
      <c r="G315" s="3"/>
      <c r="H315" s="3"/>
      <c r="I315" s="2">
        <v>15</v>
      </c>
      <c r="J315">
        <v>34.937325410052807</v>
      </c>
      <c r="K315">
        <v>26.119879236402273</v>
      </c>
      <c r="L315" t="s">
        <v>18</v>
      </c>
      <c r="M315" t="s">
        <v>19</v>
      </c>
      <c r="N315" t="s">
        <v>20</v>
      </c>
    </row>
    <row r="316" spans="1:14">
      <c r="A316" t="s">
        <v>264</v>
      </c>
      <c r="B316" t="s">
        <v>265</v>
      </c>
      <c r="C316" t="s">
        <v>16</v>
      </c>
      <c r="D316" t="s">
        <v>192</v>
      </c>
      <c r="E316" s="2">
        <v>14410</v>
      </c>
      <c r="F316" s="3"/>
      <c r="G316" s="3"/>
      <c r="H316" s="3"/>
      <c r="I316" s="2">
        <v>15</v>
      </c>
      <c r="J316">
        <v>40.775156141568353</v>
      </c>
      <c r="K316">
        <v>30</v>
      </c>
      <c r="L316" t="s">
        <v>34</v>
      </c>
      <c r="M316" t="s">
        <v>19</v>
      </c>
      <c r="N316" t="s">
        <v>20</v>
      </c>
    </row>
    <row r="317" spans="1:14">
      <c r="A317" t="s">
        <v>268</v>
      </c>
      <c r="B317" t="s">
        <v>269</v>
      </c>
      <c r="C317" t="s">
        <v>16</v>
      </c>
      <c r="D317" t="s">
        <v>192</v>
      </c>
      <c r="E317" s="2">
        <v>1957.1900000000005</v>
      </c>
      <c r="F317" s="3"/>
      <c r="G317" s="3"/>
      <c r="H317" s="3"/>
      <c r="I317" s="2">
        <v>14</v>
      </c>
      <c r="J317">
        <v>55.213975137825159</v>
      </c>
      <c r="K317">
        <v>13.730685319258727</v>
      </c>
      <c r="L317" t="s">
        <v>53</v>
      </c>
      <c r="M317" t="s">
        <v>20</v>
      </c>
      <c r="N317" t="s">
        <v>20</v>
      </c>
    </row>
    <row r="318" spans="1:14">
      <c r="A318" t="s">
        <v>290</v>
      </c>
      <c r="B318" t="s">
        <v>291</v>
      </c>
      <c r="C318" t="s">
        <v>16</v>
      </c>
      <c r="D318" t="s">
        <v>192</v>
      </c>
      <c r="E318" s="2">
        <v>19175</v>
      </c>
      <c r="F318" s="3"/>
      <c r="G318" s="3"/>
      <c r="H318" s="3"/>
      <c r="I318" s="2">
        <v>13</v>
      </c>
      <c r="J318">
        <v>52.512255541069102</v>
      </c>
      <c r="K318">
        <v>44.593220338983052</v>
      </c>
      <c r="L318" t="s">
        <v>34</v>
      </c>
      <c r="M318" t="s">
        <v>19</v>
      </c>
      <c r="N318" t="s">
        <v>20</v>
      </c>
    </row>
    <row r="319" spans="1:14">
      <c r="A319" t="s">
        <v>323</v>
      </c>
      <c r="B319" t="s">
        <v>324</v>
      </c>
      <c r="C319" t="s">
        <v>16</v>
      </c>
      <c r="D319" t="s">
        <v>192</v>
      </c>
      <c r="E319" s="2">
        <v>8380.1</v>
      </c>
      <c r="F319" s="3"/>
      <c r="G319" s="3"/>
      <c r="H319" s="3"/>
      <c r="I319" s="2">
        <v>12</v>
      </c>
      <c r="J319">
        <v>352.1400919899213</v>
      </c>
      <c r="K319">
        <v>29.999999999999996</v>
      </c>
      <c r="L319" t="s">
        <v>34</v>
      </c>
      <c r="M319" t="s">
        <v>19</v>
      </c>
      <c r="N319" t="s">
        <v>20</v>
      </c>
    </row>
    <row r="320" spans="1:14">
      <c r="A320" t="s">
        <v>325</v>
      </c>
      <c r="B320" t="s">
        <v>326</v>
      </c>
      <c r="C320" t="s">
        <v>16</v>
      </c>
      <c r="D320" t="s">
        <v>192</v>
      </c>
      <c r="E320" s="2">
        <v>147726.81</v>
      </c>
      <c r="F320" s="3"/>
      <c r="G320" s="3"/>
      <c r="H320" s="3"/>
      <c r="I320" s="2">
        <v>12</v>
      </c>
      <c r="J320">
        <v>62.197607800506894</v>
      </c>
      <c r="K320">
        <v>54.711500370176545</v>
      </c>
      <c r="L320" t="s">
        <v>39</v>
      </c>
      <c r="M320" t="s">
        <v>20</v>
      </c>
      <c r="N320" t="s">
        <v>20</v>
      </c>
    </row>
    <row r="321" spans="1:14">
      <c r="A321" t="s">
        <v>360</v>
      </c>
      <c r="B321" t="s">
        <v>361</v>
      </c>
      <c r="C321" t="s">
        <v>16</v>
      </c>
      <c r="D321" t="s">
        <v>192</v>
      </c>
      <c r="E321" s="2">
        <v>14363</v>
      </c>
      <c r="F321" s="3"/>
      <c r="G321" s="3"/>
      <c r="H321" s="3"/>
      <c r="I321" s="2">
        <v>11</v>
      </c>
      <c r="J321">
        <v>130.36023114948131</v>
      </c>
      <c r="K321">
        <v>30</v>
      </c>
      <c r="L321" t="s">
        <v>18</v>
      </c>
      <c r="M321" t="s">
        <v>19</v>
      </c>
      <c r="N321" t="s">
        <v>20</v>
      </c>
    </row>
    <row r="322" spans="1:14">
      <c r="A322" t="s">
        <v>368</v>
      </c>
      <c r="B322" t="s">
        <v>369</v>
      </c>
      <c r="C322" t="s">
        <v>16</v>
      </c>
      <c r="D322" t="s">
        <v>192</v>
      </c>
      <c r="E322" s="2">
        <v>488.33000000000004</v>
      </c>
      <c r="F322" s="3"/>
      <c r="G322" s="3"/>
      <c r="H322" s="3"/>
      <c r="I322" s="2">
        <v>11</v>
      </c>
      <c r="J322">
        <v>16.880027948622839</v>
      </c>
      <c r="K322">
        <v>12.996678944508183</v>
      </c>
      <c r="L322" t="s">
        <v>53</v>
      </c>
      <c r="M322" t="s">
        <v>19</v>
      </c>
      <c r="N322" t="s">
        <v>19</v>
      </c>
    </row>
    <row r="323" spans="1:14">
      <c r="A323" t="s">
        <v>400</v>
      </c>
      <c r="B323" t="s">
        <v>401</v>
      </c>
      <c r="C323" t="s">
        <v>16</v>
      </c>
      <c r="D323" t="s">
        <v>192</v>
      </c>
      <c r="E323" s="2">
        <v>27682.2</v>
      </c>
      <c r="F323" s="3"/>
      <c r="G323" s="3"/>
      <c r="H323" s="3"/>
      <c r="I323" s="2">
        <v>10</v>
      </c>
      <c r="J323">
        <v>61.095660749506905</v>
      </c>
      <c r="K323">
        <v>60</v>
      </c>
      <c r="L323" t="s">
        <v>18</v>
      </c>
      <c r="M323" t="s">
        <v>19</v>
      </c>
      <c r="N323" t="s">
        <v>20</v>
      </c>
    </row>
    <row r="324" spans="1:14">
      <c r="A324" t="s">
        <v>429</v>
      </c>
      <c r="B324" t="s">
        <v>430</v>
      </c>
      <c r="C324" t="s">
        <v>16</v>
      </c>
      <c r="D324" t="s">
        <v>192</v>
      </c>
      <c r="E324" s="2">
        <v>1272191.49</v>
      </c>
      <c r="F324" s="3"/>
      <c r="G324" s="3"/>
      <c r="H324" s="3"/>
      <c r="I324" s="2">
        <v>9</v>
      </c>
      <c r="J324">
        <v>52.224102072872697</v>
      </c>
      <c r="K324">
        <v>51.753690892870218</v>
      </c>
      <c r="L324" t="s">
        <v>18</v>
      </c>
      <c r="M324" t="s">
        <v>19</v>
      </c>
      <c r="N324" t="s">
        <v>20</v>
      </c>
    </row>
    <row r="325" spans="1:14">
      <c r="A325" t="s">
        <v>446</v>
      </c>
      <c r="B325" t="s">
        <v>447</v>
      </c>
      <c r="C325" t="s">
        <v>16</v>
      </c>
      <c r="D325" t="s">
        <v>192</v>
      </c>
      <c r="E325" s="2">
        <v>199644.11</v>
      </c>
      <c r="F325" s="3"/>
      <c r="G325" s="3"/>
      <c r="H325" s="3"/>
      <c r="I325" s="2">
        <v>9</v>
      </c>
      <c r="J325">
        <v>48.454455981696633</v>
      </c>
      <c r="K325">
        <v>45.000000000000007</v>
      </c>
      <c r="L325" t="s">
        <v>34</v>
      </c>
      <c r="M325" t="s">
        <v>19</v>
      </c>
      <c r="N325" t="s">
        <v>20</v>
      </c>
    </row>
    <row r="326" spans="1:14">
      <c r="A326" t="s">
        <v>468</v>
      </c>
      <c r="B326" t="s">
        <v>469</v>
      </c>
      <c r="C326" t="s">
        <v>16</v>
      </c>
      <c r="D326" t="s">
        <v>192</v>
      </c>
      <c r="E326" s="2">
        <v>14172.099999999999</v>
      </c>
      <c r="F326" s="3"/>
      <c r="G326" s="3"/>
      <c r="H326" s="3"/>
      <c r="I326" s="2">
        <v>8</v>
      </c>
      <c r="J326">
        <v>26.057768432342421</v>
      </c>
      <c r="K326">
        <v>10.000000000000002</v>
      </c>
      <c r="L326" t="s">
        <v>39</v>
      </c>
      <c r="M326" t="s">
        <v>19</v>
      </c>
      <c r="N326" t="s">
        <v>20</v>
      </c>
    </row>
    <row r="327" spans="1:14">
      <c r="A327" t="s">
        <v>470</v>
      </c>
      <c r="B327" t="s">
        <v>471</v>
      </c>
      <c r="C327" t="s">
        <v>16</v>
      </c>
      <c r="D327" t="s">
        <v>192</v>
      </c>
      <c r="E327" s="2">
        <v>15075.3</v>
      </c>
      <c r="F327" s="3"/>
      <c r="G327" s="3"/>
      <c r="H327" s="3"/>
      <c r="I327" s="2">
        <v>8</v>
      </c>
      <c r="J327">
        <v>121.69536327635271</v>
      </c>
      <c r="K327">
        <v>44.999999999999993</v>
      </c>
      <c r="L327" t="s">
        <v>39</v>
      </c>
      <c r="M327" t="s">
        <v>19</v>
      </c>
      <c r="N327" t="s">
        <v>20</v>
      </c>
    </row>
    <row r="328" spans="1:14">
      <c r="A328" t="s">
        <v>546</v>
      </c>
      <c r="B328" t="s">
        <v>547</v>
      </c>
      <c r="C328" t="s">
        <v>16</v>
      </c>
      <c r="D328" t="s">
        <v>192</v>
      </c>
      <c r="E328" s="2">
        <v>196242.66</v>
      </c>
      <c r="F328" s="3"/>
      <c r="G328" s="3"/>
      <c r="H328" s="3"/>
      <c r="I328" s="2">
        <v>6</v>
      </c>
      <c r="J328">
        <v>32.41755034302939</v>
      </c>
      <c r="K328">
        <v>30.000000000000004</v>
      </c>
      <c r="L328" t="s">
        <v>34</v>
      </c>
      <c r="M328" t="s">
        <v>19</v>
      </c>
      <c r="N328" t="s">
        <v>19</v>
      </c>
    </row>
    <row r="329" spans="1:14">
      <c r="A329" t="s">
        <v>554</v>
      </c>
      <c r="B329" t="s">
        <v>555</v>
      </c>
      <c r="C329" t="s">
        <v>16</v>
      </c>
      <c r="D329" t="s">
        <v>192</v>
      </c>
      <c r="E329" s="2">
        <v>15108.840000000002</v>
      </c>
      <c r="F329" s="3"/>
      <c r="G329" s="3"/>
      <c r="H329" s="3"/>
      <c r="I329" s="2">
        <v>5</v>
      </c>
      <c r="J329">
        <v>61.734379343483681</v>
      </c>
      <c r="K329">
        <v>59.999999999999993</v>
      </c>
      <c r="L329" t="s">
        <v>39</v>
      </c>
      <c r="M329" t="s">
        <v>20</v>
      </c>
      <c r="N329" t="s">
        <v>19</v>
      </c>
    </row>
    <row r="330" spans="1:14">
      <c r="A330" t="s">
        <v>574</v>
      </c>
      <c r="B330" t="s">
        <v>575</v>
      </c>
      <c r="C330" t="s">
        <v>16</v>
      </c>
      <c r="D330" t="s">
        <v>192</v>
      </c>
      <c r="E330" s="2">
        <v>1324281.7000000002</v>
      </c>
      <c r="F330" s="3"/>
      <c r="G330" s="3"/>
      <c r="H330" s="3"/>
      <c r="I330" s="2">
        <v>5</v>
      </c>
      <c r="J330">
        <v>30.989151069594929</v>
      </c>
      <c r="K330">
        <v>29.999999999999996</v>
      </c>
      <c r="L330" t="s">
        <v>39</v>
      </c>
      <c r="M330" t="s">
        <v>19</v>
      </c>
      <c r="N330" t="s">
        <v>20</v>
      </c>
    </row>
    <row r="331" spans="1:14">
      <c r="A331" t="s">
        <v>588</v>
      </c>
      <c r="B331" t="s">
        <v>589</v>
      </c>
      <c r="C331" t="s">
        <v>16</v>
      </c>
      <c r="D331" t="s">
        <v>192</v>
      </c>
      <c r="E331" s="2">
        <v>54884.5</v>
      </c>
      <c r="F331" s="3"/>
      <c r="G331" s="3"/>
      <c r="H331" s="3"/>
      <c r="I331" s="2">
        <v>5</v>
      </c>
      <c r="J331">
        <v>122.89746649782725</v>
      </c>
      <c r="K331">
        <v>27.141542694203281</v>
      </c>
      <c r="L331" t="s">
        <v>34</v>
      </c>
      <c r="M331" t="s">
        <v>19</v>
      </c>
      <c r="N331" t="s">
        <v>20</v>
      </c>
    </row>
    <row r="332" spans="1:14">
      <c r="A332" t="s">
        <v>594</v>
      </c>
      <c r="B332" t="s">
        <v>595</v>
      </c>
      <c r="C332" t="s">
        <v>16</v>
      </c>
      <c r="D332" t="s">
        <v>192</v>
      </c>
      <c r="E332" s="2">
        <v>4577</v>
      </c>
      <c r="F332" s="3"/>
      <c r="G332" s="3"/>
      <c r="H332" s="3"/>
      <c r="I332" s="2">
        <v>4</v>
      </c>
      <c r="J332">
        <v>122.55188988420363</v>
      </c>
      <c r="K332">
        <v>45</v>
      </c>
      <c r="L332" t="s">
        <v>39</v>
      </c>
      <c r="M332" t="s">
        <v>19</v>
      </c>
      <c r="N332" t="s">
        <v>20</v>
      </c>
    </row>
    <row r="333" spans="1:14">
      <c r="A333" t="s">
        <v>596</v>
      </c>
      <c r="B333" t="s">
        <v>597</v>
      </c>
      <c r="C333" t="s">
        <v>16</v>
      </c>
      <c r="D333" t="s">
        <v>192</v>
      </c>
      <c r="E333" s="2">
        <v>77497.17</v>
      </c>
      <c r="F333" s="3"/>
      <c r="G333" s="3"/>
      <c r="H333" s="3"/>
      <c r="I333" s="2">
        <v>4</v>
      </c>
      <c r="J333">
        <v>63.6284949502027</v>
      </c>
      <c r="K333">
        <v>56.956379181330107</v>
      </c>
      <c r="L333" t="s">
        <v>39</v>
      </c>
      <c r="M333" t="s">
        <v>20</v>
      </c>
      <c r="N333" t="s">
        <v>19</v>
      </c>
    </row>
    <row r="334" spans="1:14">
      <c r="A334" t="s">
        <v>623</v>
      </c>
      <c r="B334" t="s">
        <v>624</v>
      </c>
      <c r="C334" t="s">
        <v>16</v>
      </c>
      <c r="D334" t="s">
        <v>192</v>
      </c>
      <c r="E334" s="2">
        <v>22363.279999999999</v>
      </c>
      <c r="F334" s="3"/>
      <c r="G334" s="3"/>
      <c r="H334" s="3"/>
      <c r="I334" s="2">
        <v>4</v>
      </c>
      <c r="J334">
        <v>46.63752812646446</v>
      </c>
      <c r="K334">
        <v>45</v>
      </c>
      <c r="L334" t="s">
        <v>39</v>
      </c>
      <c r="M334" t="s">
        <v>19</v>
      </c>
      <c r="N334" t="s">
        <v>20</v>
      </c>
    </row>
    <row r="335" spans="1:14">
      <c r="A335" t="s">
        <v>635</v>
      </c>
      <c r="B335" t="s">
        <v>636</v>
      </c>
      <c r="C335" t="s">
        <v>16</v>
      </c>
      <c r="D335" t="s">
        <v>192</v>
      </c>
      <c r="E335" s="2">
        <v>12073.529999999999</v>
      </c>
      <c r="F335" s="3"/>
      <c r="G335" s="3"/>
      <c r="H335" s="3"/>
      <c r="I335" s="2">
        <v>4</v>
      </c>
      <c r="J335">
        <v>283.897033427672</v>
      </c>
      <c r="K335">
        <v>60.000000000000007</v>
      </c>
      <c r="L335" t="s">
        <v>18</v>
      </c>
      <c r="M335" t="s">
        <v>19</v>
      </c>
      <c r="N335" t="s">
        <v>20</v>
      </c>
    </row>
    <row r="336" spans="1:14">
      <c r="A336" t="s">
        <v>668</v>
      </c>
      <c r="B336" t="s">
        <v>669</v>
      </c>
      <c r="C336" t="s">
        <v>16</v>
      </c>
      <c r="D336" t="s">
        <v>192</v>
      </c>
      <c r="E336" s="2">
        <v>56378</v>
      </c>
      <c r="F336" s="3"/>
      <c r="G336" s="3"/>
      <c r="H336" s="3"/>
      <c r="I336" s="2">
        <v>3</v>
      </c>
      <c r="J336">
        <v>146</v>
      </c>
      <c r="K336">
        <v>60</v>
      </c>
      <c r="L336" t="s">
        <v>18</v>
      </c>
      <c r="M336" t="s">
        <v>19</v>
      </c>
      <c r="N336" t="s">
        <v>20</v>
      </c>
    </row>
    <row r="337" spans="1:14">
      <c r="A337" t="s">
        <v>678</v>
      </c>
      <c r="B337" t="s">
        <v>679</v>
      </c>
      <c r="C337" t="s">
        <v>16</v>
      </c>
      <c r="D337" t="s">
        <v>192</v>
      </c>
      <c r="E337" s="2">
        <v>75727.81</v>
      </c>
      <c r="F337" s="3"/>
      <c r="G337" s="3"/>
      <c r="H337" s="3"/>
      <c r="I337" s="2">
        <v>3</v>
      </c>
      <c r="J337">
        <v>68.936073198953963</v>
      </c>
      <c r="K337">
        <v>60</v>
      </c>
      <c r="L337" t="s">
        <v>18</v>
      </c>
      <c r="M337" t="s">
        <v>19</v>
      </c>
      <c r="N337" t="s">
        <v>20</v>
      </c>
    </row>
    <row r="338" spans="1:14">
      <c r="A338" t="s">
        <v>682</v>
      </c>
      <c r="B338" t="s">
        <v>683</v>
      </c>
      <c r="C338" t="s">
        <v>16</v>
      </c>
      <c r="D338" t="s">
        <v>192</v>
      </c>
      <c r="E338" s="2">
        <v>19002.5</v>
      </c>
      <c r="F338" s="3"/>
      <c r="G338" s="3"/>
      <c r="H338" s="3"/>
      <c r="I338" s="2">
        <v>3</v>
      </c>
      <c r="J338">
        <v>39.798316011051178</v>
      </c>
      <c r="K338">
        <v>14</v>
      </c>
      <c r="L338" t="s">
        <v>39</v>
      </c>
      <c r="M338" t="s">
        <v>19</v>
      </c>
      <c r="N338" t="s">
        <v>20</v>
      </c>
    </row>
    <row r="339" spans="1:14">
      <c r="A339" t="s">
        <v>684</v>
      </c>
      <c r="B339" t="s">
        <v>685</v>
      </c>
      <c r="C339" t="s">
        <v>16</v>
      </c>
      <c r="D339" t="s">
        <v>192</v>
      </c>
      <c r="E339" s="2">
        <v>70107.63</v>
      </c>
      <c r="F339" s="3"/>
      <c r="G339" s="3"/>
      <c r="H339" s="3"/>
      <c r="I339" s="2">
        <v>3</v>
      </c>
      <c r="J339">
        <v>67.670798919558933</v>
      </c>
      <c r="K339">
        <v>50.987373729495062</v>
      </c>
      <c r="L339" t="s">
        <v>39</v>
      </c>
      <c r="M339" t="s">
        <v>19</v>
      </c>
      <c r="N339" t="s">
        <v>20</v>
      </c>
    </row>
    <row r="340" spans="1:14">
      <c r="A340" t="s">
        <v>748</v>
      </c>
      <c r="B340" t="s">
        <v>749</v>
      </c>
      <c r="C340" t="s">
        <v>16</v>
      </c>
      <c r="D340" t="s">
        <v>192</v>
      </c>
      <c r="E340" s="2">
        <v>8153.67</v>
      </c>
      <c r="F340" s="3"/>
      <c r="G340" s="3"/>
      <c r="H340" s="3"/>
      <c r="I340" s="2">
        <v>2</v>
      </c>
      <c r="J340">
        <v>129.59308507702667</v>
      </c>
      <c r="K340">
        <v>7</v>
      </c>
      <c r="L340" t="s">
        <v>153</v>
      </c>
      <c r="M340" t="s">
        <v>19</v>
      </c>
      <c r="N340" t="s">
        <v>20</v>
      </c>
    </row>
    <row r="341" spans="1:14">
      <c r="A341" t="s">
        <v>758</v>
      </c>
      <c r="B341" t="s">
        <v>759</v>
      </c>
      <c r="C341" t="s">
        <v>16</v>
      </c>
      <c r="D341" t="s">
        <v>192</v>
      </c>
      <c r="E341" s="2">
        <v>3062.5</v>
      </c>
      <c r="F341" s="3"/>
      <c r="G341" s="3"/>
      <c r="H341" s="3"/>
      <c r="I341" s="2">
        <v>2</v>
      </c>
      <c r="J341">
        <v>98.2</v>
      </c>
      <c r="K341">
        <v>30</v>
      </c>
      <c r="L341" t="s">
        <v>34</v>
      </c>
      <c r="M341" t="s">
        <v>19</v>
      </c>
      <c r="N341" t="s">
        <v>20</v>
      </c>
    </row>
    <row r="342" spans="1:14">
      <c r="A342" t="s">
        <v>760</v>
      </c>
      <c r="B342" t="s">
        <v>761</v>
      </c>
      <c r="C342" t="s">
        <v>16</v>
      </c>
      <c r="D342" t="s">
        <v>192</v>
      </c>
      <c r="E342" s="2">
        <v>1520</v>
      </c>
      <c r="F342" s="3"/>
      <c r="G342" s="3"/>
      <c r="H342" s="3"/>
      <c r="I342" s="2">
        <v>2</v>
      </c>
      <c r="J342">
        <v>23.842105263157894</v>
      </c>
      <c r="K342">
        <v>14</v>
      </c>
      <c r="L342" t="s">
        <v>18</v>
      </c>
      <c r="M342" t="s">
        <v>19</v>
      </c>
      <c r="N342" t="s">
        <v>20</v>
      </c>
    </row>
    <row r="343" spans="1:14">
      <c r="A343" t="s">
        <v>774</v>
      </c>
      <c r="B343" t="s">
        <v>775</v>
      </c>
      <c r="C343" t="s">
        <v>16</v>
      </c>
      <c r="D343" t="s">
        <v>192</v>
      </c>
      <c r="E343" s="2">
        <v>0</v>
      </c>
      <c r="F343" s="3"/>
      <c r="G343" s="3"/>
      <c r="H343" s="3"/>
      <c r="I343" s="2">
        <v>2</v>
      </c>
      <c r="J343">
        <v>398</v>
      </c>
      <c r="K343">
        <v>60</v>
      </c>
      <c r="L343" t="s">
        <v>18</v>
      </c>
      <c r="M343" t="s">
        <v>19</v>
      </c>
      <c r="N343" t="s">
        <v>20</v>
      </c>
    </row>
    <row r="344" spans="1:14">
      <c r="A344" t="s">
        <v>788</v>
      </c>
      <c r="B344" t="s">
        <v>789</v>
      </c>
      <c r="C344" t="s">
        <v>16</v>
      </c>
      <c r="D344" t="s">
        <v>192</v>
      </c>
      <c r="E344" s="2">
        <v>50248.979999999996</v>
      </c>
      <c r="F344" s="3"/>
      <c r="G344" s="3"/>
      <c r="H344" s="3"/>
      <c r="I344" s="2">
        <v>2</v>
      </c>
      <c r="J344">
        <v>68.927128471065487</v>
      </c>
      <c r="K344">
        <v>30</v>
      </c>
      <c r="L344" t="s">
        <v>34</v>
      </c>
      <c r="M344" t="s">
        <v>19</v>
      </c>
      <c r="N344" t="s">
        <v>20</v>
      </c>
    </row>
    <row r="345" spans="1:14">
      <c r="A345" t="s">
        <v>830</v>
      </c>
      <c r="B345" t="s">
        <v>831</v>
      </c>
      <c r="C345" t="s">
        <v>16</v>
      </c>
      <c r="D345" t="s">
        <v>192</v>
      </c>
      <c r="E345" s="2">
        <v>3700</v>
      </c>
      <c r="F345" s="3"/>
      <c r="G345" s="3"/>
      <c r="H345" s="3"/>
      <c r="I345" s="2">
        <v>2</v>
      </c>
      <c r="J345">
        <v>45.918918918918919</v>
      </c>
      <c r="K345">
        <v>36.162162162162161</v>
      </c>
      <c r="L345" t="s">
        <v>18</v>
      </c>
      <c r="M345" t="s">
        <v>19</v>
      </c>
      <c r="N345" t="s">
        <v>20</v>
      </c>
    </row>
    <row r="346" spans="1:14">
      <c r="A346" t="s">
        <v>894</v>
      </c>
      <c r="B346" t="s">
        <v>895</v>
      </c>
      <c r="C346" t="s">
        <v>16</v>
      </c>
      <c r="D346" t="s">
        <v>192</v>
      </c>
      <c r="E346" s="2">
        <v>1397.92</v>
      </c>
      <c r="F346" s="3"/>
      <c r="G346" s="3"/>
      <c r="H346" s="3"/>
      <c r="I346" s="2">
        <v>2</v>
      </c>
      <c r="J346">
        <v>63.295081263591626</v>
      </c>
      <c r="K346">
        <v>60.000000000000007</v>
      </c>
      <c r="L346" t="s">
        <v>18</v>
      </c>
      <c r="M346" t="s">
        <v>19</v>
      </c>
      <c r="N346" t="s">
        <v>20</v>
      </c>
    </row>
    <row r="347" spans="1:14">
      <c r="A347" t="s">
        <v>900</v>
      </c>
      <c r="B347" t="s">
        <v>901</v>
      </c>
      <c r="C347" t="s">
        <v>16</v>
      </c>
      <c r="D347" t="s">
        <v>192</v>
      </c>
      <c r="E347" s="2">
        <v>4497</v>
      </c>
      <c r="F347" s="3"/>
      <c r="G347" s="3"/>
      <c r="H347" s="3"/>
      <c r="I347" s="2">
        <v>2</v>
      </c>
      <c r="J347">
        <v>36</v>
      </c>
      <c r="K347">
        <v>14</v>
      </c>
      <c r="L347" t="s">
        <v>24</v>
      </c>
      <c r="M347" t="s">
        <v>20</v>
      </c>
      <c r="N347" t="s">
        <v>20</v>
      </c>
    </row>
    <row r="348" spans="1:14">
      <c r="A348" t="s">
        <v>910</v>
      </c>
      <c r="B348" t="s">
        <v>911</v>
      </c>
      <c r="C348" t="s">
        <v>16</v>
      </c>
      <c r="D348" t="s">
        <v>192</v>
      </c>
      <c r="E348" s="2">
        <v>8427.19</v>
      </c>
      <c r="F348" s="3"/>
      <c r="G348" s="3"/>
      <c r="H348" s="3"/>
      <c r="I348" s="2">
        <v>1</v>
      </c>
      <c r="J348">
        <v>84</v>
      </c>
      <c r="K348">
        <v>30</v>
      </c>
      <c r="L348" t="s">
        <v>34</v>
      </c>
      <c r="M348" t="s">
        <v>19</v>
      </c>
      <c r="N348" t="s">
        <v>20</v>
      </c>
    </row>
    <row r="349" spans="1:14">
      <c r="A349" t="s">
        <v>934</v>
      </c>
      <c r="B349" t="s">
        <v>935</v>
      </c>
      <c r="C349" t="s">
        <v>16</v>
      </c>
      <c r="D349" t="s">
        <v>192</v>
      </c>
      <c r="E349" s="2">
        <v>1693.82</v>
      </c>
      <c r="F349" s="3"/>
      <c r="G349" s="3"/>
      <c r="H349" s="3"/>
      <c r="I349" s="2">
        <v>1</v>
      </c>
      <c r="J349">
        <v>138</v>
      </c>
      <c r="K349">
        <v>60</v>
      </c>
      <c r="L349" t="s">
        <v>18</v>
      </c>
      <c r="M349" t="s">
        <v>19</v>
      </c>
      <c r="N349" t="s">
        <v>20</v>
      </c>
    </row>
    <row r="350" spans="1:14">
      <c r="A350" t="s">
        <v>962</v>
      </c>
      <c r="B350" t="s">
        <v>963</v>
      </c>
      <c r="C350" t="s">
        <v>16</v>
      </c>
      <c r="D350" t="s">
        <v>192</v>
      </c>
      <c r="E350" s="2">
        <v>6600</v>
      </c>
      <c r="F350" s="3"/>
      <c r="G350" s="3"/>
      <c r="H350" s="3"/>
      <c r="I350" s="2">
        <v>1</v>
      </c>
      <c r="J350">
        <v>53</v>
      </c>
      <c r="K350">
        <v>60</v>
      </c>
      <c r="L350" t="s">
        <v>18</v>
      </c>
      <c r="M350" t="s">
        <v>20</v>
      </c>
      <c r="N350" t="s">
        <v>20</v>
      </c>
    </row>
    <row r="351" spans="1:14">
      <c r="A351" t="s">
        <v>972</v>
      </c>
      <c r="B351" t="s">
        <v>973</v>
      </c>
      <c r="C351" t="s">
        <v>16</v>
      </c>
      <c r="D351" t="s">
        <v>192</v>
      </c>
      <c r="E351" s="2">
        <v>4126.54</v>
      </c>
      <c r="F351" s="3"/>
      <c r="G351" s="3"/>
      <c r="H351" s="3"/>
      <c r="I351" s="2">
        <v>1</v>
      </c>
      <c r="J351">
        <v>74</v>
      </c>
      <c r="K351">
        <v>60</v>
      </c>
      <c r="L351" t="s">
        <v>18</v>
      </c>
      <c r="M351" t="s">
        <v>19</v>
      </c>
      <c r="N351" t="s">
        <v>20</v>
      </c>
    </row>
    <row r="352" spans="1:14">
      <c r="A352" t="s">
        <v>980</v>
      </c>
      <c r="B352" t="s">
        <v>981</v>
      </c>
      <c r="C352" t="s">
        <v>16</v>
      </c>
      <c r="D352" t="s">
        <v>192</v>
      </c>
      <c r="E352" s="2">
        <v>24437.5</v>
      </c>
      <c r="F352" s="3"/>
      <c r="G352" s="3"/>
      <c r="H352" s="3"/>
      <c r="I352" s="2">
        <v>1</v>
      </c>
      <c r="J352">
        <v>41</v>
      </c>
      <c r="K352">
        <v>45</v>
      </c>
      <c r="L352" t="s">
        <v>39</v>
      </c>
      <c r="M352" t="s">
        <v>20</v>
      </c>
      <c r="N352" t="s">
        <v>20</v>
      </c>
    </row>
    <row r="353" spans="1:14">
      <c r="A353" t="s">
        <v>986</v>
      </c>
      <c r="B353" t="s">
        <v>987</v>
      </c>
      <c r="C353" t="s">
        <v>16</v>
      </c>
      <c r="D353" t="s">
        <v>192</v>
      </c>
      <c r="E353" s="2">
        <v>1470</v>
      </c>
      <c r="F353" s="3"/>
      <c r="G353" s="3"/>
      <c r="H353" s="3"/>
      <c r="I353" s="2">
        <v>1</v>
      </c>
      <c r="J353">
        <v>168</v>
      </c>
      <c r="K353">
        <v>60</v>
      </c>
      <c r="L353" t="s">
        <v>18</v>
      </c>
      <c r="M353" t="s">
        <v>19</v>
      </c>
      <c r="N353" t="s">
        <v>20</v>
      </c>
    </row>
    <row r="354" spans="1:14">
      <c r="A354" t="s">
        <v>994</v>
      </c>
      <c r="B354" t="s">
        <v>995</v>
      </c>
      <c r="C354" t="s">
        <v>16</v>
      </c>
      <c r="D354" t="s">
        <v>192</v>
      </c>
      <c r="E354" s="2">
        <v>31.91</v>
      </c>
      <c r="F354" s="3"/>
      <c r="G354" s="3"/>
      <c r="H354" s="3"/>
      <c r="I354" s="2">
        <v>1</v>
      </c>
      <c r="J354">
        <v>51</v>
      </c>
      <c r="K354">
        <v>7</v>
      </c>
      <c r="L354" t="s">
        <v>53</v>
      </c>
      <c r="M354" t="s">
        <v>20</v>
      </c>
      <c r="N354" t="s">
        <v>19</v>
      </c>
    </row>
    <row r="355" spans="1:14">
      <c r="A355" t="s">
        <v>574</v>
      </c>
      <c r="B355" t="s">
        <v>1000</v>
      </c>
      <c r="C355" t="s">
        <v>16</v>
      </c>
      <c r="D355" t="s">
        <v>192</v>
      </c>
      <c r="E355" s="2">
        <v>36815.22</v>
      </c>
      <c r="F355" s="3"/>
      <c r="G355" s="3"/>
      <c r="H355" s="3"/>
      <c r="I355" s="2">
        <v>1</v>
      </c>
      <c r="J355">
        <v>45</v>
      </c>
      <c r="K355">
        <v>45</v>
      </c>
      <c r="L355" t="s">
        <v>39</v>
      </c>
      <c r="M355" t="s">
        <v>19</v>
      </c>
      <c r="N355" t="s">
        <v>20</v>
      </c>
    </row>
    <row r="356" spans="1:14">
      <c r="A356" t="s">
        <v>1015</v>
      </c>
      <c r="B356" t="s">
        <v>1016</v>
      </c>
      <c r="C356" t="s">
        <v>16</v>
      </c>
      <c r="D356" t="s">
        <v>192</v>
      </c>
      <c r="E356" s="2">
        <v>77879.12</v>
      </c>
      <c r="F356" s="3"/>
      <c r="G356" s="3"/>
      <c r="H356" s="3"/>
      <c r="I356" s="2">
        <v>1</v>
      </c>
      <c r="J356">
        <v>59.999999999999993</v>
      </c>
      <c r="K356">
        <v>29.999999999999996</v>
      </c>
      <c r="L356" t="s">
        <v>34</v>
      </c>
      <c r="M356" t="s">
        <v>19</v>
      </c>
      <c r="N356" t="s">
        <v>20</v>
      </c>
    </row>
    <row r="357" spans="1:14">
      <c r="A357" t="s">
        <v>1038</v>
      </c>
      <c r="B357" t="s">
        <v>1039</v>
      </c>
      <c r="C357" t="s">
        <v>16</v>
      </c>
      <c r="D357" t="s">
        <v>192</v>
      </c>
      <c r="E357" s="2">
        <v>2910.29</v>
      </c>
      <c r="F357" s="3"/>
      <c r="G357" s="3"/>
      <c r="H357" s="3"/>
      <c r="I357" s="2">
        <v>1</v>
      </c>
      <c r="J357">
        <v>61</v>
      </c>
      <c r="K357">
        <v>60</v>
      </c>
      <c r="L357" t="s">
        <v>18</v>
      </c>
      <c r="M357" t="s">
        <v>19</v>
      </c>
      <c r="N357" t="s">
        <v>20</v>
      </c>
    </row>
    <row r="358" spans="1:14">
      <c r="A358" t="s">
        <v>1068</v>
      </c>
      <c r="B358" t="s">
        <v>1069</v>
      </c>
      <c r="C358" t="s">
        <v>16</v>
      </c>
      <c r="D358" t="s">
        <v>192</v>
      </c>
      <c r="E358" s="2">
        <v>70139</v>
      </c>
      <c r="F358" s="3"/>
      <c r="G358" s="3"/>
      <c r="H358" s="3"/>
      <c r="I358" s="2">
        <v>1</v>
      </c>
      <c r="J358">
        <v>92</v>
      </c>
      <c r="K358">
        <v>45</v>
      </c>
      <c r="L358" t="s">
        <v>39</v>
      </c>
      <c r="M358" t="s">
        <v>19</v>
      </c>
      <c r="N358" t="s">
        <v>20</v>
      </c>
    </row>
    <row r="359" spans="1:14">
      <c r="A359" t="s">
        <v>1084</v>
      </c>
      <c r="B359" t="s">
        <v>1085</v>
      </c>
      <c r="C359" t="s">
        <v>16</v>
      </c>
      <c r="D359" t="s">
        <v>192</v>
      </c>
      <c r="E359" s="2">
        <v>13422.33</v>
      </c>
      <c r="F359" s="3"/>
      <c r="G359" s="3"/>
      <c r="H359" s="3"/>
      <c r="I359" s="2">
        <v>1</v>
      </c>
      <c r="J359">
        <v>85</v>
      </c>
      <c r="K359">
        <v>45</v>
      </c>
      <c r="L359" t="s">
        <v>39</v>
      </c>
      <c r="M359" t="s">
        <v>19</v>
      </c>
      <c r="N359" t="s">
        <v>20</v>
      </c>
    </row>
    <row r="360" spans="1:14">
      <c r="A360" t="s">
        <v>1182</v>
      </c>
      <c r="B360" t="s">
        <v>1183</v>
      </c>
      <c r="C360" t="s">
        <v>16</v>
      </c>
      <c r="D360" t="s">
        <v>192</v>
      </c>
      <c r="E360" s="2">
        <v>3350</v>
      </c>
      <c r="F360" s="3"/>
      <c r="G360" s="3"/>
      <c r="H360" s="3"/>
      <c r="I360" s="2">
        <v>1</v>
      </c>
      <c r="J360">
        <v>69</v>
      </c>
      <c r="K360">
        <v>60</v>
      </c>
      <c r="L360" t="s">
        <v>18</v>
      </c>
      <c r="M360" t="s">
        <v>19</v>
      </c>
      <c r="N360" t="s">
        <v>20</v>
      </c>
    </row>
    <row r="361" spans="1:14">
      <c r="A361" t="s">
        <v>25</v>
      </c>
      <c r="B361" t="s">
        <v>26</v>
      </c>
      <c r="C361" t="s">
        <v>16</v>
      </c>
      <c r="D361" t="s">
        <v>27</v>
      </c>
      <c r="E361" s="2">
        <v>745709.0700000003</v>
      </c>
      <c r="F361" s="3"/>
      <c r="G361" s="3"/>
      <c r="H361" s="3"/>
      <c r="I361" s="2">
        <v>350</v>
      </c>
      <c r="J361">
        <v>62.942435632434382</v>
      </c>
      <c r="K361">
        <v>59.875256316787365</v>
      </c>
      <c r="L361" t="s">
        <v>18</v>
      </c>
      <c r="M361" t="s">
        <v>20</v>
      </c>
      <c r="N361" t="s">
        <v>20</v>
      </c>
    </row>
    <row r="362" spans="1:14">
      <c r="A362" t="s">
        <v>37</v>
      </c>
      <c r="B362" t="s">
        <v>38</v>
      </c>
      <c r="C362" t="s">
        <v>16</v>
      </c>
      <c r="D362" t="s">
        <v>27</v>
      </c>
      <c r="E362" s="2">
        <v>1439973.4699999997</v>
      </c>
      <c r="F362" s="3"/>
      <c r="G362" s="3"/>
      <c r="H362" s="3"/>
      <c r="I362" s="2">
        <v>257</v>
      </c>
      <c r="J362">
        <v>60.145802117627554</v>
      </c>
      <c r="K362">
        <v>59.622407137235705</v>
      </c>
      <c r="L362" t="s">
        <v>39</v>
      </c>
      <c r="M362" t="s">
        <v>19</v>
      </c>
      <c r="N362" t="s">
        <v>20</v>
      </c>
    </row>
    <row r="363" spans="1:14">
      <c r="A363" t="s">
        <v>60</v>
      </c>
      <c r="B363" t="s">
        <v>61</v>
      </c>
      <c r="C363" t="s">
        <v>16</v>
      </c>
      <c r="D363" t="s">
        <v>27</v>
      </c>
      <c r="E363" s="2">
        <v>241010.86000000004</v>
      </c>
      <c r="F363" s="3"/>
      <c r="G363" s="3"/>
      <c r="H363" s="3"/>
      <c r="I363" s="2">
        <v>159</v>
      </c>
      <c r="J363">
        <v>58.744204682191324</v>
      </c>
      <c r="K363">
        <v>54.836416698100869</v>
      </c>
      <c r="L363" t="s">
        <v>39</v>
      </c>
      <c r="M363" t="s">
        <v>20</v>
      </c>
      <c r="N363" t="s">
        <v>20</v>
      </c>
    </row>
    <row r="364" spans="1:14">
      <c r="A364" t="s">
        <v>64</v>
      </c>
      <c r="B364" t="s">
        <v>65</v>
      </c>
      <c r="C364" t="s">
        <v>16</v>
      </c>
      <c r="D364" t="s">
        <v>27</v>
      </c>
      <c r="E364" s="2">
        <v>138821.12</v>
      </c>
      <c r="F364" s="3"/>
      <c r="G364" s="3"/>
      <c r="H364" s="3"/>
      <c r="I364" s="2">
        <v>123</v>
      </c>
      <c r="J364">
        <v>38.861015218127363</v>
      </c>
      <c r="K364">
        <v>30</v>
      </c>
      <c r="L364" t="s">
        <v>34</v>
      </c>
      <c r="M364" t="s">
        <v>20</v>
      </c>
      <c r="N364" t="s">
        <v>20</v>
      </c>
    </row>
    <row r="365" spans="1:14">
      <c r="A365" t="s">
        <v>81</v>
      </c>
      <c r="B365" t="s">
        <v>82</v>
      </c>
      <c r="C365" t="s">
        <v>16</v>
      </c>
      <c r="D365" t="s">
        <v>27</v>
      </c>
      <c r="E365" s="2">
        <v>81371.550000000017</v>
      </c>
      <c r="F365" s="3"/>
      <c r="G365" s="3"/>
      <c r="H365" s="3"/>
      <c r="I365" s="2">
        <v>84</v>
      </c>
      <c r="J365">
        <v>79.851539862738932</v>
      </c>
      <c r="K365">
        <v>60.000000000000014</v>
      </c>
      <c r="L365" t="s">
        <v>18</v>
      </c>
      <c r="M365" t="s">
        <v>19</v>
      </c>
      <c r="N365" t="s">
        <v>20</v>
      </c>
    </row>
    <row r="366" spans="1:14">
      <c r="A366" t="s">
        <v>117</v>
      </c>
      <c r="B366" t="s">
        <v>118</v>
      </c>
      <c r="C366" t="s">
        <v>16</v>
      </c>
      <c r="D366" t="s">
        <v>27</v>
      </c>
      <c r="E366" s="2">
        <v>87268.04</v>
      </c>
      <c r="F366" s="3"/>
      <c r="G366" s="3"/>
      <c r="H366" s="3"/>
      <c r="I366" s="2">
        <v>50</v>
      </c>
      <c r="J366">
        <v>61.439174786811087</v>
      </c>
      <c r="K366">
        <v>60.000000000000007</v>
      </c>
      <c r="L366" t="s">
        <v>39</v>
      </c>
      <c r="M366" t="s">
        <v>19</v>
      </c>
      <c r="N366" t="s">
        <v>20</v>
      </c>
    </row>
    <row r="367" spans="1:14">
      <c r="A367" t="s">
        <v>139</v>
      </c>
      <c r="B367" t="s">
        <v>140</v>
      </c>
      <c r="C367" t="s">
        <v>16</v>
      </c>
      <c r="D367" t="s">
        <v>27</v>
      </c>
      <c r="E367" s="2">
        <v>35324.799999999996</v>
      </c>
      <c r="F367" s="3"/>
      <c r="G367" s="3"/>
      <c r="H367" s="3"/>
      <c r="I367" s="2">
        <v>40</v>
      </c>
      <c r="J367">
        <v>31.360248041036328</v>
      </c>
      <c r="K367">
        <v>29.999999999999996</v>
      </c>
      <c r="L367" t="s">
        <v>34</v>
      </c>
      <c r="M367" t="s">
        <v>19</v>
      </c>
      <c r="N367" t="s">
        <v>20</v>
      </c>
    </row>
    <row r="368" spans="1:14">
      <c r="A368" t="s">
        <v>166</v>
      </c>
      <c r="B368" t="s">
        <v>167</v>
      </c>
      <c r="C368" t="s">
        <v>16</v>
      </c>
      <c r="D368" t="s">
        <v>27</v>
      </c>
      <c r="E368" s="2">
        <v>28920.800000000003</v>
      </c>
      <c r="F368" s="3"/>
      <c r="G368" s="3"/>
      <c r="H368" s="3"/>
      <c r="I368" s="2">
        <v>32</v>
      </c>
      <c r="J368">
        <v>53.277239910375911</v>
      </c>
      <c r="K368">
        <v>44.999999999999993</v>
      </c>
      <c r="L368" t="s">
        <v>39</v>
      </c>
      <c r="M368" t="s">
        <v>19</v>
      </c>
      <c r="N368" t="s">
        <v>19</v>
      </c>
    </row>
    <row r="369" spans="1:14">
      <c r="A369" t="s">
        <v>170</v>
      </c>
      <c r="B369" t="s">
        <v>171</v>
      </c>
      <c r="C369" t="s">
        <v>16</v>
      </c>
      <c r="D369" t="s">
        <v>27</v>
      </c>
      <c r="E369" s="2">
        <v>44491.700000000012</v>
      </c>
      <c r="F369" s="3"/>
      <c r="G369" s="3"/>
      <c r="H369" s="3"/>
      <c r="I369" s="2">
        <v>31</v>
      </c>
      <c r="J369">
        <v>69.264026998294042</v>
      </c>
      <c r="K369">
        <v>59.999999999999986</v>
      </c>
      <c r="L369" t="s">
        <v>18</v>
      </c>
      <c r="M369" t="s">
        <v>19</v>
      </c>
      <c r="N369" t="s">
        <v>20</v>
      </c>
    </row>
    <row r="370" spans="1:14">
      <c r="A370" t="s">
        <v>176</v>
      </c>
      <c r="B370" t="s">
        <v>177</v>
      </c>
      <c r="C370" t="s">
        <v>16</v>
      </c>
      <c r="D370" t="s">
        <v>27</v>
      </c>
      <c r="E370" s="2">
        <v>99732.210000000021</v>
      </c>
      <c r="F370" s="3"/>
      <c r="G370" s="3"/>
      <c r="H370" s="3"/>
      <c r="I370" s="2">
        <v>29</v>
      </c>
      <c r="J370">
        <v>47.228536598156197</v>
      </c>
      <c r="K370">
        <v>44.999999999999993</v>
      </c>
      <c r="L370" t="s">
        <v>39</v>
      </c>
      <c r="M370" t="s">
        <v>19</v>
      </c>
      <c r="N370" t="s">
        <v>20</v>
      </c>
    </row>
    <row r="371" spans="1:14">
      <c r="A371" t="s">
        <v>182</v>
      </c>
      <c r="B371" t="s">
        <v>183</v>
      </c>
      <c r="C371" t="s">
        <v>16</v>
      </c>
      <c r="D371" t="s">
        <v>27</v>
      </c>
      <c r="E371" s="2">
        <v>222334.07999999996</v>
      </c>
      <c r="F371" s="3"/>
      <c r="G371" s="3"/>
      <c r="H371" s="3"/>
      <c r="I371" s="2">
        <v>28</v>
      </c>
      <c r="J371">
        <v>59.573038375403357</v>
      </c>
      <c r="K371">
        <v>57.42481921799844</v>
      </c>
      <c r="L371" t="s">
        <v>39</v>
      </c>
      <c r="M371" t="s">
        <v>20</v>
      </c>
      <c r="N371" t="s">
        <v>19</v>
      </c>
    </row>
    <row r="372" spans="1:14">
      <c r="A372" t="s">
        <v>207</v>
      </c>
      <c r="B372" t="s">
        <v>208</v>
      </c>
      <c r="C372" t="s">
        <v>16</v>
      </c>
      <c r="D372" t="s">
        <v>27</v>
      </c>
      <c r="E372" s="2">
        <v>57433.270000000004</v>
      </c>
      <c r="F372" s="3"/>
      <c r="G372" s="3"/>
      <c r="H372" s="3"/>
      <c r="I372" s="2">
        <v>23</v>
      </c>
      <c r="J372">
        <v>55.208755308551986</v>
      </c>
      <c r="K372">
        <v>44.999999999999986</v>
      </c>
      <c r="L372" t="s">
        <v>39</v>
      </c>
      <c r="M372" t="s">
        <v>19</v>
      </c>
      <c r="N372" t="s">
        <v>20</v>
      </c>
    </row>
    <row r="373" spans="1:14">
      <c r="A373" t="s">
        <v>246</v>
      </c>
      <c r="B373" t="s">
        <v>247</v>
      </c>
      <c r="C373" t="s">
        <v>16</v>
      </c>
      <c r="D373" t="s">
        <v>27</v>
      </c>
      <c r="E373" s="2">
        <v>19309.38</v>
      </c>
      <c r="F373" s="3"/>
      <c r="G373" s="3"/>
      <c r="H373" s="3"/>
      <c r="I373" s="2">
        <v>16</v>
      </c>
      <c r="J373">
        <v>58.6291418989113</v>
      </c>
      <c r="K373">
        <v>55.710654614493052</v>
      </c>
      <c r="L373" t="s">
        <v>39</v>
      </c>
      <c r="M373" t="s">
        <v>19</v>
      </c>
      <c r="N373" t="s">
        <v>20</v>
      </c>
    </row>
    <row r="374" spans="1:14">
      <c r="A374" t="s">
        <v>280</v>
      </c>
      <c r="B374" t="s">
        <v>281</v>
      </c>
      <c r="C374" t="s">
        <v>16</v>
      </c>
      <c r="D374" t="s">
        <v>27</v>
      </c>
      <c r="E374" s="2">
        <v>32972</v>
      </c>
      <c r="F374" s="3"/>
      <c r="G374" s="3"/>
      <c r="H374" s="3"/>
      <c r="I374" s="2">
        <v>14</v>
      </c>
      <c r="J374">
        <v>47.100934125925029</v>
      </c>
      <c r="K374">
        <v>44.042884872012614</v>
      </c>
      <c r="L374" t="s">
        <v>39</v>
      </c>
      <c r="M374" t="s">
        <v>20</v>
      </c>
      <c r="N374" t="s">
        <v>20</v>
      </c>
    </row>
    <row r="375" spans="1:14">
      <c r="A375" t="s">
        <v>317</v>
      </c>
      <c r="B375" t="s">
        <v>318</v>
      </c>
      <c r="C375" t="s">
        <v>16</v>
      </c>
      <c r="D375" t="s">
        <v>27</v>
      </c>
      <c r="E375" s="2">
        <v>9524.84</v>
      </c>
      <c r="F375" s="3"/>
      <c r="G375" s="3"/>
      <c r="H375" s="3"/>
      <c r="I375" s="2">
        <v>12</v>
      </c>
      <c r="J375">
        <v>17.766345681397269</v>
      </c>
      <c r="K375">
        <v>14</v>
      </c>
      <c r="L375" t="s">
        <v>18</v>
      </c>
      <c r="M375" t="s">
        <v>19</v>
      </c>
      <c r="N375" t="s">
        <v>20</v>
      </c>
    </row>
    <row r="376" spans="1:14">
      <c r="A376" t="s">
        <v>404</v>
      </c>
      <c r="B376" t="s">
        <v>405</v>
      </c>
      <c r="C376" t="s">
        <v>16</v>
      </c>
      <c r="D376" t="s">
        <v>27</v>
      </c>
      <c r="E376" s="2">
        <v>6203.6100000000006</v>
      </c>
      <c r="F376" s="3"/>
      <c r="G376" s="3"/>
      <c r="H376" s="3"/>
      <c r="I376" s="2">
        <v>10</v>
      </c>
      <c r="J376">
        <v>50.193090797132641</v>
      </c>
      <c r="K376">
        <v>50.280580178315532</v>
      </c>
      <c r="L376" t="s">
        <v>39</v>
      </c>
      <c r="M376" t="s">
        <v>20</v>
      </c>
      <c r="N376" t="s">
        <v>19</v>
      </c>
    </row>
    <row r="377" spans="1:14">
      <c r="A377" t="s">
        <v>406</v>
      </c>
      <c r="B377" t="s">
        <v>407</v>
      </c>
      <c r="C377" t="s">
        <v>16</v>
      </c>
      <c r="D377" t="s">
        <v>27</v>
      </c>
      <c r="E377" s="2">
        <v>10908.420000000002</v>
      </c>
      <c r="F377" s="3"/>
      <c r="G377" s="3"/>
      <c r="H377" s="3"/>
      <c r="I377" s="2">
        <v>10</v>
      </c>
      <c r="J377">
        <v>32.460693665993787</v>
      </c>
      <c r="K377">
        <v>31.188375585098481</v>
      </c>
      <c r="L377" t="s">
        <v>39</v>
      </c>
      <c r="M377" t="s">
        <v>19</v>
      </c>
      <c r="N377" t="s">
        <v>20</v>
      </c>
    </row>
    <row r="378" spans="1:14">
      <c r="A378" t="s">
        <v>410</v>
      </c>
      <c r="B378" t="s">
        <v>411</v>
      </c>
      <c r="C378" t="s">
        <v>16</v>
      </c>
      <c r="D378" t="s">
        <v>27</v>
      </c>
      <c r="E378" s="2">
        <v>12433.45</v>
      </c>
      <c r="F378" s="3"/>
      <c r="G378" s="3"/>
      <c r="H378" s="3"/>
      <c r="I378" s="2">
        <v>10</v>
      </c>
      <c r="J378">
        <v>71.698658859769409</v>
      </c>
      <c r="K378">
        <v>53.797626563825816</v>
      </c>
      <c r="L378" t="s">
        <v>39</v>
      </c>
      <c r="M378" t="s">
        <v>19</v>
      </c>
      <c r="N378" t="s">
        <v>20</v>
      </c>
    </row>
    <row r="379" spans="1:14">
      <c r="A379" t="s">
        <v>420</v>
      </c>
      <c r="B379" t="s">
        <v>421</v>
      </c>
      <c r="C379" t="s">
        <v>16</v>
      </c>
      <c r="D379" t="s">
        <v>27</v>
      </c>
      <c r="E379" s="2">
        <v>15755.17</v>
      </c>
      <c r="F379" s="3"/>
      <c r="G379" s="3"/>
      <c r="H379" s="3"/>
      <c r="I379" s="2">
        <v>10</v>
      </c>
      <c r="J379">
        <v>67.939889572756115</v>
      </c>
      <c r="K379">
        <v>60</v>
      </c>
      <c r="L379" t="s">
        <v>18</v>
      </c>
      <c r="M379" t="s">
        <v>19</v>
      </c>
      <c r="N379" t="s">
        <v>20</v>
      </c>
    </row>
    <row r="380" spans="1:14">
      <c r="A380" t="s">
        <v>422</v>
      </c>
      <c r="B380" t="s">
        <v>423</v>
      </c>
      <c r="C380" t="s">
        <v>16</v>
      </c>
      <c r="D380" t="s">
        <v>27</v>
      </c>
      <c r="E380" s="2">
        <v>45769</v>
      </c>
      <c r="F380" s="3"/>
      <c r="G380" s="3"/>
      <c r="H380" s="3"/>
      <c r="I380" s="2">
        <v>10</v>
      </c>
      <c r="J380">
        <v>70.858921977757873</v>
      </c>
      <c r="K380">
        <v>60</v>
      </c>
      <c r="L380" t="s">
        <v>18</v>
      </c>
      <c r="M380" t="s">
        <v>19</v>
      </c>
      <c r="N380" t="s">
        <v>20</v>
      </c>
    </row>
    <row r="381" spans="1:14">
      <c r="A381" t="s">
        <v>442</v>
      </c>
      <c r="B381" t="s">
        <v>443</v>
      </c>
      <c r="C381" t="s">
        <v>16</v>
      </c>
      <c r="D381" t="s">
        <v>27</v>
      </c>
      <c r="E381" s="2">
        <v>40571.040000000001</v>
      </c>
      <c r="F381" s="3"/>
      <c r="G381" s="3"/>
      <c r="H381" s="3"/>
      <c r="I381" s="2">
        <v>9</v>
      </c>
      <c r="J381">
        <v>44.308242283165526</v>
      </c>
      <c r="K381">
        <v>14.666703145889285</v>
      </c>
      <c r="L381" t="s">
        <v>18</v>
      </c>
      <c r="M381" t="s">
        <v>19</v>
      </c>
      <c r="N381" t="s">
        <v>20</v>
      </c>
    </row>
    <row r="382" spans="1:14">
      <c r="A382" t="s">
        <v>464</v>
      </c>
      <c r="B382" t="s">
        <v>465</v>
      </c>
      <c r="C382" t="s">
        <v>16</v>
      </c>
      <c r="D382" t="s">
        <v>27</v>
      </c>
      <c r="E382" s="2">
        <v>6320.7800000000016</v>
      </c>
      <c r="F382" s="3"/>
      <c r="G382" s="3"/>
      <c r="H382" s="3"/>
      <c r="I382" s="2">
        <v>8</v>
      </c>
      <c r="J382">
        <v>62.857378361531339</v>
      </c>
      <c r="K382">
        <v>53.092830315245884</v>
      </c>
      <c r="L382" t="s">
        <v>39</v>
      </c>
      <c r="M382" t="s">
        <v>19</v>
      </c>
      <c r="N382" t="s">
        <v>20</v>
      </c>
    </row>
    <row r="383" spans="1:14">
      <c r="A383" t="s">
        <v>696</v>
      </c>
      <c r="B383" t="s">
        <v>697</v>
      </c>
      <c r="C383" t="s">
        <v>16</v>
      </c>
      <c r="D383" t="s">
        <v>27</v>
      </c>
      <c r="E383" s="2">
        <v>1973.4299999999998</v>
      </c>
      <c r="F383" s="3"/>
      <c r="G383" s="3"/>
      <c r="H383" s="3"/>
      <c r="I383" s="2">
        <v>3</v>
      </c>
      <c r="J383">
        <v>61.999589547133681</v>
      </c>
      <c r="K383">
        <v>60</v>
      </c>
      <c r="L383" t="s">
        <v>18</v>
      </c>
      <c r="M383" t="s">
        <v>19</v>
      </c>
      <c r="N383" t="s">
        <v>20</v>
      </c>
    </row>
    <row r="384" spans="1:14">
      <c r="A384" t="s">
        <v>806</v>
      </c>
      <c r="B384" t="s">
        <v>807</v>
      </c>
      <c r="C384" t="s">
        <v>16</v>
      </c>
      <c r="D384" t="s">
        <v>27</v>
      </c>
      <c r="E384" s="2">
        <v>10500</v>
      </c>
      <c r="F384" s="3"/>
      <c r="G384" s="3"/>
      <c r="H384" s="3"/>
      <c r="I384" s="2">
        <v>2</v>
      </c>
      <c r="J384">
        <v>70.333333333333329</v>
      </c>
      <c r="K384">
        <v>60</v>
      </c>
      <c r="L384" t="s">
        <v>34</v>
      </c>
      <c r="M384" t="s">
        <v>19</v>
      </c>
      <c r="N384" t="s">
        <v>20</v>
      </c>
    </row>
    <row r="385" spans="1:14">
      <c r="A385" t="s">
        <v>890</v>
      </c>
      <c r="B385" t="s">
        <v>891</v>
      </c>
      <c r="C385" t="s">
        <v>16</v>
      </c>
      <c r="D385" t="s">
        <v>27</v>
      </c>
      <c r="E385" s="2">
        <v>6000</v>
      </c>
      <c r="F385" s="3"/>
      <c r="G385" s="3"/>
      <c r="H385" s="3"/>
      <c r="I385" s="2">
        <v>2</v>
      </c>
      <c r="J385">
        <v>92.5</v>
      </c>
      <c r="K385">
        <v>45</v>
      </c>
      <c r="L385" t="s">
        <v>18</v>
      </c>
      <c r="M385" t="s">
        <v>19</v>
      </c>
      <c r="N385" t="s">
        <v>20</v>
      </c>
    </row>
    <row r="386" spans="1:14">
      <c r="A386" t="s">
        <v>938</v>
      </c>
      <c r="B386" t="s">
        <v>939</v>
      </c>
      <c r="C386" t="s">
        <v>16</v>
      </c>
      <c r="D386" t="s">
        <v>27</v>
      </c>
      <c r="E386" s="2">
        <v>273.57</v>
      </c>
      <c r="F386" s="3"/>
      <c r="G386" s="3"/>
      <c r="H386" s="3"/>
      <c r="I386" s="2">
        <v>1</v>
      </c>
      <c r="J386">
        <v>109</v>
      </c>
      <c r="K386">
        <v>45</v>
      </c>
      <c r="L386" t="s">
        <v>39</v>
      </c>
      <c r="M386" t="s">
        <v>20</v>
      </c>
      <c r="N386" t="s">
        <v>20</v>
      </c>
    </row>
    <row r="387" spans="1:14">
      <c r="A387" t="s">
        <v>1042</v>
      </c>
      <c r="B387" t="s">
        <v>1043</v>
      </c>
      <c r="C387" t="s">
        <v>16</v>
      </c>
      <c r="D387" t="s">
        <v>27</v>
      </c>
      <c r="E387" s="2">
        <v>239.27</v>
      </c>
      <c r="F387" s="3"/>
      <c r="G387" s="3"/>
      <c r="H387" s="3"/>
      <c r="I387" s="2">
        <v>1</v>
      </c>
      <c r="J387">
        <v>229</v>
      </c>
      <c r="K387">
        <v>30</v>
      </c>
      <c r="L387" t="s">
        <v>34</v>
      </c>
      <c r="M387" t="s">
        <v>20</v>
      </c>
      <c r="N387" t="s">
        <v>20</v>
      </c>
    </row>
    <row r="388" spans="1:14">
      <c r="A388" t="s">
        <v>87</v>
      </c>
      <c r="B388" t="s">
        <v>88</v>
      </c>
      <c r="C388" t="s">
        <v>16</v>
      </c>
      <c r="D388" t="s">
        <v>89</v>
      </c>
      <c r="E388" s="2">
        <v>188141.16000000003</v>
      </c>
      <c r="F388" s="3"/>
      <c r="G388" s="3"/>
      <c r="H388" s="3"/>
      <c r="I388" s="2">
        <v>73</v>
      </c>
      <c r="J388">
        <v>52.061038407226754</v>
      </c>
      <c r="K388">
        <v>52.463473903582205</v>
      </c>
      <c r="L388" t="s">
        <v>18</v>
      </c>
      <c r="M388" t="s">
        <v>19</v>
      </c>
      <c r="N388" t="s">
        <v>20</v>
      </c>
    </row>
    <row r="389" spans="1:14">
      <c r="A389" t="s">
        <v>217</v>
      </c>
      <c r="B389" t="s">
        <v>218</v>
      </c>
      <c r="C389" t="s">
        <v>16</v>
      </c>
      <c r="D389" t="s">
        <v>89</v>
      </c>
      <c r="E389" s="2">
        <v>85651.48000000001</v>
      </c>
      <c r="F389" s="3"/>
      <c r="G389" s="3"/>
      <c r="H389" s="3"/>
      <c r="I389" s="2">
        <v>21</v>
      </c>
      <c r="J389">
        <v>51.997429116227757</v>
      </c>
      <c r="K389">
        <v>40.21709140344101</v>
      </c>
      <c r="L389" t="s">
        <v>39</v>
      </c>
      <c r="M389" t="s">
        <v>19</v>
      </c>
      <c r="N389" t="s">
        <v>20</v>
      </c>
    </row>
    <row r="390" spans="1:14">
      <c r="A390" t="s">
        <v>225</v>
      </c>
      <c r="B390" t="s">
        <v>226</v>
      </c>
      <c r="C390" t="s">
        <v>16</v>
      </c>
      <c r="D390" t="s">
        <v>89</v>
      </c>
      <c r="E390" s="2">
        <v>119949.42</v>
      </c>
      <c r="F390" s="3"/>
      <c r="G390" s="3"/>
      <c r="H390" s="3"/>
      <c r="I390" s="2">
        <v>21</v>
      </c>
      <c r="J390">
        <v>54.401693769598346</v>
      </c>
      <c r="K390">
        <v>59.656689912331203</v>
      </c>
      <c r="L390" t="s">
        <v>24</v>
      </c>
      <c r="M390" t="s">
        <v>19</v>
      </c>
      <c r="N390" t="s">
        <v>20</v>
      </c>
    </row>
    <row r="391" spans="1:14">
      <c r="A391" t="s">
        <v>354</v>
      </c>
      <c r="B391" t="s">
        <v>355</v>
      </c>
      <c r="C391" t="s">
        <v>16</v>
      </c>
      <c r="D391" t="s">
        <v>89</v>
      </c>
      <c r="E391" s="2">
        <v>16541.16</v>
      </c>
      <c r="F391" s="3"/>
      <c r="G391" s="3"/>
      <c r="H391" s="3"/>
      <c r="I391" s="2">
        <v>12</v>
      </c>
      <c r="J391">
        <v>38.925173325208149</v>
      </c>
      <c r="K391">
        <v>8.3438694746922231</v>
      </c>
      <c r="L391" t="s">
        <v>34</v>
      </c>
      <c r="M391" t="s">
        <v>20</v>
      </c>
      <c r="N391" t="s">
        <v>19</v>
      </c>
    </row>
    <row r="392" spans="1:14">
      <c r="A392" t="s">
        <v>372</v>
      </c>
      <c r="B392" t="s">
        <v>373</v>
      </c>
      <c r="C392" t="s">
        <v>16</v>
      </c>
      <c r="D392" t="s">
        <v>89</v>
      </c>
      <c r="E392" s="2">
        <v>16564</v>
      </c>
      <c r="F392" s="3"/>
      <c r="G392" s="3"/>
      <c r="H392" s="3"/>
      <c r="I392" s="2">
        <v>11</v>
      </c>
      <c r="J392">
        <v>18.694578604201883</v>
      </c>
      <c r="K392">
        <v>14.284955324800773</v>
      </c>
      <c r="L392" t="s">
        <v>39</v>
      </c>
      <c r="M392" t="s">
        <v>19</v>
      </c>
      <c r="N392" t="s">
        <v>20</v>
      </c>
    </row>
    <row r="393" spans="1:14">
      <c r="A393" t="s">
        <v>380</v>
      </c>
      <c r="B393" t="s">
        <v>381</v>
      </c>
      <c r="C393" t="s">
        <v>16</v>
      </c>
      <c r="D393" t="s">
        <v>89</v>
      </c>
      <c r="E393" s="2">
        <v>38185.5</v>
      </c>
      <c r="F393" s="3"/>
      <c r="G393" s="3">
        <v>0.27272727272727271</v>
      </c>
      <c r="H393" s="3">
        <v>0.27942543635673228</v>
      </c>
      <c r="I393" s="2">
        <v>11</v>
      </c>
      <c r="J393">
        <v>33.281743070013484</v>
      </c>
      <c r="K393">
        <v>30.286810438517239</v>
      </c>
      <c r="L393" t="s">
        <v>18</v>
      </c>
      <c r="M393" t="s">
        <v>19</v>
      </c>
      <c r="N393" t="s">
        <v>20</v>
      </c>
    </row>
    <row r="394" spans="1:14">
      <c r="A394" t="s">
        <v>438</v>
      </c>
      <c r="B394" t="s">
        <v>439</v>
      </c>
      <c r="C394" t="s">
        <v>16</v>
      </c>
      <c r="D394" t="s">
        <v>89</v>
      </c>
      <c r="E394" s="2">
        <v>6718.36</v>
      </c>
      <c r="F394" s="3"/>
      <c r="G394" s="3"/>
      <c r="H394" s="3"/>
      <c r="I394" s="2">
        <v>9</v>
      </c>
      <c r="J394">
        <v>61.731965836900677</v>
      </c>
      <c r="K394">
        <v>60</v>
      </c>
      <c r="L394" t="s">
        <v>18</v>
      </c>
      <c r="M394" t="s">
        <v>19</v>
      </c>
      <c r="N394" t="s">
        <v>20</v>
      </c>
    </row>
    <row r="395" spans="1:14">
      <c r="A395" t="s">
        <v>460</v>
      </c>
      <c r="B395" t="s">
        <v>461</v>
      </c>
      <c r="C395" t="s">
        <v>16</v>
      </c>
      <c r="D395" t="s">
        <v>89</v>
      </c>
      <c r="E395" s="2">
        <v>19188.5</v>
      </c>
      <c r="F395" s="3"/>
      <c r="G395" s="3"/>
      <c r="H395" s="3"/>
      <c r="I395" s="2">
        <v>8</v>
      </c>
      <c r="J395">
        <v>63.262865778982203</v>
      </c>
      <c r="K395">
        <v>60</v>
      </c>
      <c r="L395" t="s">
        <v>18</v>
      </c>
      <c r="M395" t="s">
        <v>19</v>
      </c>
      <c r="N395" t="s">
        <v>20</v>
      </c>
    </row>
    <row r="396" spans="1:14">
      <c r="A396" t="s">
        <v>550</v>
      </c>
      <c r="B396" t="s">
        <v>551</v>
      </c>
      <c r="C396" t="s">
        <v>16</v>
      </c>
      <c r="D396" t="s">
        <v>89</v>
      </c>
      <c r="E396" s="2">
        <v>42972.619999999995</v>
      </c>
      <c r="F396" s="3"/>
      <c r="G396" s="3"/>
      <c r="H396" s="3"/>
      <c r="I396" s="2">
        <v>5</v>
      </c>
      <c r="J396">
        <v>62.063026560185591</v>
      </c>
      <c r="K396">
        <v>29.319590309379393</v>
      </c>
      <c r="L396" t="s">
        <v>34</v>
      </c>
      <c r="M396" t="s">
        <v>19</v>
      </c>
      <c r="N396" t="s">
        <v>20</v>
      </c>
    </row>
    <row r="397" spans="1:14">
      <c r="A397" t="s">
        <v>586</v>
      </c>
      <c r="B397" t="s">
        <v>587</v>
      </c>
      <c r="C397" t="s">
        <v>16</v>
      </c>
      <c r="D397" t="s">
        <v>89</v>
      </c>
      <c r="E397" s="2">
        <v>3682.54</v>
      </c>
      <c r="F397" s="3"/>
      <c r="G397" s="3"/>
      <c r="H397" s="3"/>
      <c r="I397" s="2">
        <v>5</v>
      </c>
      <c r="J397">
        <v>70.675742829677347</v>
      </c>
      <c r="K397">
        <v>43.48612642360979</v>
      </c>
      <c r="L397" t="s">
        <v>39</v>
      </c>
      <c r="M397" t="s">
        <v>19</v>
      </c>
      <c r="N397" t="s">
        <v>20</v>
      </c>
    </row>
    <row r="398" spans="1:14">
      <c r="A398" t="s">
        <v>629</v>
      </c>
      <c r="B398" t="s">
        <v>630</v>
      </c>
      <c r="C398" t="s">
        <v>16</v>
      </c>
      <c r="D398" t="s">
        <v>89</v>
      </c>
      <c r="E398" s="2">
        <v>18769.760000000002</v>
      </c>
      <c r="F398" s="3"/>
      <c r="G398" s="3"/>
      <c r="H398" s="3"/>
      <c r="I398" s="2">
        <v>4</v>
      </c>
      <c r="J398">
        <v>30.246808344344654</v>
      </c>
      <c r="K398">
        <v>29.999999999999996</v>
      </c>
      <c r="L398" t="s">
        <v>34</v>
      </c>
      <c r="M398" t="s">
        <v>19</v>
      </c>
      <c r="N398" t="s">
        <v>20</v>
      </c>
    </row>
    <row r="399" spans="1:14">
      <c r="A399" t="s">
        <v>664</v>
      </c>
      <c r="B399" t="s">
        <v>665</v>
      </c>
      <c r="C399" t="s">
        <v>16</v>
      </c>
      <c r="D399" t="s">
        <v>89</v>
      </c>
      <c r="E399" s="2">
        <v>30499.54</v>
      </c>
      <c r="F399" s="3"/>
      <c r="G399" s="3">
        <v>0.66666666666666663</v>
      </c>
      <c r="H399" s="3">
        <v>0.60203006340423493</v>
      </c>
      <c r="I399" s="2">
        <v>3</v>
      </c>
      <c r="J399">
        <v>53.418270570638114</v>
      </c>
      <c r="K399">
        <v>39.030450951063521</v>
      </c>
      <c r="L399" t="s">
        <v>34</v>
      </c>
      <c r="M399" t="s">
        <v>19</v>
      </c>
      <c r="N399" t="s">
        <v>20</v>
      </c>
    </row>
    <row r="400" spans="1:14">
      <c r="A400" t="s">
        <v>718</v>
      </c>
      <c r="B400" t="s">
        <v>719</v>
      </c>
      <c r="C400" t="s">
        <v>16</v>
      </c>
      <c r="D400" t="s">
        <v>89</v>
      </c>
      <c r="E400" s="2">
        <v>267</v>
      </c>
      <c r="F400" s="3"/>
      <c r="G400" s="3"/>
      <c r="H400" s="3"/>
      <c r="I400" s="2">
        <v>3</v>
      </c>
      <c r="J400">
        <v>22.666666666666668</v>
      </c>
      <c r="K400">
        <v>21</v>
      </c>
      <c r="L400" t="s">
        <v>316</v>
      </c>
      <c r="M400" t="s">
        <v>19</v>
      </c>
      <c r="N400" t="s">
        <v>20</v>
      </c>
    </row>
    <row r="401" spans="1:14">
      <c r="A401" t="s">
        <v>720</v>
      </c>
      <c r="B401" t="s">
        <v>721</v>
      </c>
      <c r="C401" t="s">
        <v>16</v>
      </c>
      <c r="D401" t="s">
        <v>89</v>
      </c>
      <c r="E401" s="2">
        <v>6767</v>
      </c>
      <c r="F401" s="3"/>
      <c r="G401" s="3">
        <v>0.33333333333333331</v>
      </c>
      <c r="H401" s="3">
        <v>0.4758386286389833</v>
      </c>
      <c r="I401" s="2">
        <v>3</v>
      </c>
      <c r="J401">
        <v>17.894487956258313</v>
      </c>
      <c r="K401">
        <v>14</v>
      </c>
      <c r="L401" t="s">
        <v>316</v>
      </c>
      <c r="M401" t="s">
        <v>19</v>
      </c>
      <c r="N401" t="s">
        <v>20</v>
      </c>
    </row>
    <row r="402" spans="1:14">
      <c r="A402" t="s">
        <v>740</v>
      </c>
      <c r="B402" t="s">
        <v>741</v>
      </c>
      <c r="C402" t="s">
        <v>16</v>
      </c>
      <c r="D402" t="s">
        <v>89</v>
      </c>
      <c r="E402" s="2">
        <v>22347</v>
      </c>
      <c r="F402" s="3"/>
      <c r="G402" s="3">
        <v>1</v>
      </c>
      <c r="H402" s="3">
        <v>1</v>
      </c>
      <c r="I402" s="2">
        <v>3</v>
      </c>
      <c r="J402">
        <v>77.728688414552295</v>
      </c>
      <c r="K402">
        <v>45</v>
      </c>
      <c r="L402" t="s">
        <v>39</v>
      </c>
      <c r="M402" t="s">
        <v>19</v>
      </c>
      <c r="N402" t="s">
        <v>20</v>
      </c>
    </row>
    <row r="403" spans="1:14">
      <c r="A403" t="s">
        <v>744</v>
      </c>
      <c r="B403" t="s">
        <v>745</v>
      </c>
      <c r="C403" t="s">
        <v>16</v>
      </c>
      <c r="D403" t="s">
        <v>89</v>
      </c>
      <c r="E403" s="2">
        <v>31952.94</v>
      </c>
      <c r="F403" s="3"/>
      <c r="G403" s="3"/>
      <c r="H403" s="3"/>
      <c r="I403" s="2">
        <v>3</v>
      </c>
      <c r="J403">
        <v>44.6776024365833</v>
      </c>
      <c r="K403">
        <v>30</v>
      </c>
      <c r="L403" t="s">
        <v>18</v>
      </c>
      <c r="M403" t="s">
        <v>19</v>
      </c>
      <c r="N403" t="s">
        <v>20</v>
      </c>
    </row>
    <row r="404" spans="1:14">
      <c r="A404" t="s">
        <v>992</v>
      </c>
      <c r="B404" t="s">
        <v>993</v>
      </c>
      <c r="C404" t="s">
        <v>16</v>
      </c>
      <c r="D404" t="s">
        <v>89</v>
      </c>
      <c r="E404" s="2">
        <v>389.09000000000003</v>
      </c>
      <c r="F404" s="3"/>
      <c r="G404" s="3"/>
      <c r="H404" s="3"/>
      <c r="I404" s="2">
        <v>1</v>
      </c>
      <c r="J404">
        <v>50.999999999999993</v>
      </c>
      <c r="K404">
        <v>44.999999999999993</v>
      </c>
      <c r="L404" t="s">
        <v>39</v>
      </c>
      <c r="M404" t="s">
        <v>20</v>
      </c>
      <c r="N404" t="s">
        <v>19</v>
      </c>
    </row>
    <row r="405" spans="1:14">
      <c r="A405" t="s">
        <v>1009</v>
      </c>
      <c r="B405" t="s">
        <v>1010</v>
      </c>
      <c r="C405" t="s">
        <v>16</v>
      </c>
      <c r="D405" t="s">
        <v>89</v>
      </c>
      <c r="E405" s="2">
        <v>485</v>
      </c>
      <c r="F405" s="3"/>
      <c r="G405" s="3"/>
      <c r="H405" s="3"/>
      <c r="I405" s="2">
        <v>1</v>
      </c>
      <c r="J405">
        <v>33</v>
      </c>
      <c r="K405">
        <v>7</v>
      </c>
      <c r="L405" t="s">
        <v>18</v>
      </c>
      <c r="M405" t="s">
        <v>19</v>
      </c>
      <c r="N405" t="s">
        <v>20</v>
      </c>
    </row>
    <row r="406" spans="1:14">
      <c r="A406" t="s">
        <v>1011</v>
      </c>
      <c r="B406" t="s">
        <v>1012</v>
      </c>
      <c r="C406" t="s">
        <v>16</v>
      </c>
      <c r="D406" t="s">
        <v>89</v>
      </c>
      <c r="E406" s="2">
        <v>1000</v>
      </c>
      <c r="F406" s="3"/>
      <c r="G406" s="3"/>
      <c r="H406" s="3"/>
      <c r="I406" s="2">
        <v>1</v>
      </c>
      <c r="J406">
        <v>15</v>
      </c>
      <c r="K406">
        <v>14</v>
      </c>
      <c r="L406" t="s">
        <v>18</v>
      </c>
      <c r="M406" t="s">
        <v>19</v>
      </c>
      <c r="N406" t="s">
        <v>20</v>
      </c>
    </row>
    <row r="407" spans="1:14">
      <c r="A407" t="s">
        <v>1023</v>
      </c>
      <c r="B407" t="s">
        <v>1024</v>
      </c>
      <c r="C407" t="s">
        <v>16</v>
      </c>
      <c r="D407" t="s">
        <v>89</v>
      </c>
      <c r="E407" s="2">
        <v>254.81</v>
      </c>
      <c r="F407" s="3"/>
      <c r="G407" s="3"/>
      <c r="H407" s="3"/>
      <c r="I407" s="2">
        <v>1</v>
      </c>
      <c r="J407">
        <v>701</v>
      </c>
      <c r="K407">
        <v>30</v>
      </c>
      <c r="L407" t="s">
        <v>34</v>
      </c>
      <c r="M407" t="s">
        <v>19</v>
      </c>
      <c r="N407" t="s">
        <v>20</v>
      </c>
    </row>
    <row r="408" spans="1:14">
      <c r="A408" t="s">
        <v>1058</v>
      </c>
      <c r="B408" t="s">
        <v>1059</v>
      </c>
      <c r="C408" t="s">
        <v>16</v>
      </c>
      <c r="D408" t="s">
        <v>89</v>
      </c>
      <c r="E408" s="2">
        <v>921</v>
      </c>
      <c r="F408" s="3"/>
      <c r="G408" s="3">
        <v>1</v>
      </c>
      <c r="H408" s="3">
        <v>1</v>
      </c>
      <c r="I408" s="2">
        <v>1</v>
      </c>
      <c r="J408">
        <v>54</v>
      </c>
      <c r="K408">
        <v>60</v>
      </c>
      <c r="L408" t="s">
        <v>34</v>
      </c>
      <c r="M408" t="s">
        <v>19</v>
      </c>
      <c r="N408" t="s">
        <v>20</v>
      </c>
    </row>
    <row r="409" spans="1:14">
      <c r="A409" t="s">
        <v>1096</v>
      </c>
      <c r="B409" t="s">
        <v>1097</v>
      </c>
      <c r="C409" t="s">
        <v>16</v>
      </c>
      <c r="D409" t="s">
        <v>89</v>
      </c>
      <c r="E409" s="2">
        <v>14097.48</v>
      </c>
      <c r="F409" s="3"/>
      <c r="G409" s="3"/>
      <c r="H409" s="3"/>
      <c r="I409" s="2">
        <v>1</v>
      </c>
      <c r="J409">
        <v>39</v>
      </c>
      <c r="K409">
        <v>30</v>
      </c>
      <c r="L409" t="s">
        <v>34</v>
      </c>
      <c r="M409" t="s">
        <v>19</v>
      </c>
      <c r="N409" t="s">
        <v>20</v>
      </c>
    </row>
    <row r="410" spans="1:14">
      <c r="A410" t="s">
        <v>1098</v>
      </c>
      <c r="B410" t="s">
        <v>1099</v>
      </c>
      <c r="C410" t="s">
        <v>16</v>
      </c>
      <c r="D410" t="s">
        <v>89</v>
      </c>
      <c r="E410" s="2">
        <v>90</v>
      </c>
      <c r="F410" s="3"/>
      <c r="G410" s="3"/>
      <c r="H410" s="3"/>
      <c r="I410" s="2">
        <v>1</v>
      </c>
      <c r="J410">
        <v>473</v>
      </c>
      <c r="K410">
        <v>14</v>
      </c>
      <c r="L410" t="s">
        <v>24</v>
      </c>
      <c r="M410" t="s">
        <v>19</v>
      </c>
      <c r="N410" t="s">
        <v>20</v>
      </c>
    </row>
    <row r="411" spans="1:14">
      <c r="A411" t="s">
        <v>1144</v>
      </c>
      <c r="B411" t="s">
        <v>1145</v>
      </c>
      <c r="C411" t="s">
        <v>16</v>
      </c>
      <c r="D411" t="s">
        <v>89</v>
      </c>
      <c r="E411" s="2">
        <v>50</v>
      </c>
      <c r="F411" s="3"/>
      <c r="G411" s="3"/>
      <c r="H411" s="3"/>
      <c r="I411" s="2">
        <v>1</v>
      </c>
      <c r="J411">
        <v>77</v>
      </c>
      <c r="K411">
        <v>61</v>
      </c>
      <c r="L411" t="s">
        <v>18</v>
      </c>
      <c r="M411" t="s">
        <v>19</v>
      </c>
      <c r="N411" t="s">
        <v>20</v>
      </c>
    </row>
    <row r="412" spans="1:14">
      <c r="A412" t="s">
        <v>1154</v>
      </c>
      <c r="B412" t="s">
        <v>1155</v>
      </c>
      <c r="C412" t="s">
        <v>16</v>
      </c>
      <c r="D412" t="s">
        <v>89</v>
      </c>
      <c r="E412" s="2">
        <v>6295.02</v>
      </c>
      <c r="F412" s="3"/>
      <c r="G412" s="3"/>
      <c r="H412" s="3"/>
      <c r="I412" s="2">
        <v>1</v>
      </c>
      <c r="J412">
        <v>121</v>
      </c>
      <c r="K412">
        <v>45</v>
      </c>
      <c r="L412" t="s">
        <v>39</v>
      </c>
      <c r="M412" t="s">
        <v>19</v>
      </c>
      <c r="N412" t="s">
        <v>20</v>
      </c>
    </row>
    <row r="413" spans="1:14">
      <c r="A413" t="s">
        <v>1178</v>
      </c>
      <c r="B413" t="s">
        <v>1179</v>
      </c>
      <c r="C413" t="s">
        <v>16</v>
      </c>
      <c r="D413" t="s">
        <v>89</v>
      </c>
      <c r="E413" s="2">
        <v>3167.4</v>
      </c>
      <c r="F413" s="3"/>
      <c r="G413" s="3">
        <v>1</v>
      </c>
      <c r="H413" s="3">
        <v>1</v>
      </c>
      <c r="I413" s="2">
        <v>1</v>
      </c>
      <c r="J413">
        <v>85</v>
      </c>
      <c r="K413">
        <v>60</v>
      </c>
      <c r="L413" t="s">
        <v>18</v>
      </c>
      <c r="M413" t="s">
        <v>19</v>
      </c>
      <c r="N413" t="s">
        <v>20</v>
      </c>
    </row>
    <row r="414" spans="1:14">
      <c r="A414" t="s">
        <v>40</v>
      </c>
      <c r="B414" t="s">
        <v>41</v>
      </c>
      <c r="C414" t="s">
        <v>16</v>
      </c>
      <c r="D414" t="s">
        <v>42</v>
      </c>
      <c r="E414" s="2">
        <v>323750.96999999962</v>
      </c>
      <c r="F414" s="3"/>
      <c r="G414" s="3">
        <v>0.47599999999999998</v>
      </c>
      <c r="H414" s="3">
        <v>0.25478101270244874</v>
      </c>
      <c r="I414" s="2">
        <v>250</v>
      </c>
      <c r="J414">
        <v>95.516636228147945</v>
      </c>
      <c r="K414">
        <v>48.629774823531861</v>
      </c>
      <c r="L414" t="s">
        <v>39</v>
      </c>
      <c r="M414" t="s">
        <v>19</v>
      </c>
      <c r="N414" t="s">
        <v>20</v>
      </c>
    </row>
    <row r="415" spans="1:14">
      <c r="A415" t="s">
        <v>101</v>
      </c>
      <c r="B415" t="s">
        <v>102</v>
      </c>
      <c r="C415" t="s">
        <v>16</v>
      </c>
      <c r="D415" t="s">
        <v>42</v>
      </c>
      <c r="E415" s="2">
        <v>478302.71</v>
      </c>
      <c r="F415" s="3"/>
      <c r="G415" s="3">
        <v>0.15625</v>
      </c>
      <c r="H415" s="3">
        <v>0.11382735004783895</v>
      </c>
      <c r="I415" s="2">
        <v>64</v>
      </c>
      <c r="J415">
        <v>54.645713584808483</v>
      </c>
      <c r="K415">
        <v>44.999999999999993</v>
      </c>
      <c r="L415" t="s">
        <v>39</v>
      </c>
      <c r="M415" t="s">
        <v>19</v>
      </c>
      <c r="N415" t="s">
        <v>20</v>
      </c>
    </row>
    <row r="416" spans="1:14">
      <c r="A416" t="s">
        <v>133</v>
      </c>
      <c r="B416" t="s">
        <v>134</v>
      </c>
      <c r="C416" t="s">
        <v>16</v>
      </c>
      <c r="D416" t="s">
        <v>42</v>
      </c>
      <c r="E416" s="2">
        <v>108019.45000000001</v>
      </c>
      <c r="F416" s="3"/>
      <c r="G416" s="3">
        <v>1</v>
      </c>
      <c r="H416" s="3">
        <v>1</v>
      </c>
      <c r="I416" s="2">
        <v>42</v>
      </c>
      <c r="J416">
        <v>59.454415570529186</v>
      </c>
      <c r="K416">
        <v>59.999999999999993</v>
      </c>
      <c r="L416" t="s">
        <v>18</v>
      </c>
      <c r="M416" t="s">
        <v>19</v>
      </c>
      <c r="N416" t="s">
        <v>20</v>
      </c>
    </row>
    <row r="417" spans="1:14">
      <c r="A417" t="s">
        <v>145</v>
      </c>
      <c r="B417" t="s">
        <v>146</v>
      </c>
      <c r="C417" t="s">
        <v>16</v>
      </c>
      <c r="D417" t="s">
        <v>42</v>
      </c>
      <c r="E417" s="2">
        <v>256267.28999999998</v>
      </c>
      <c r="F417" s="3"/>
      <c r="G417" s="3">
        <v>0.17948717948717949</v>
      </c>
      <c r="H417" s="3">
        <v>0.1956799090512098</v>
      </c>
      <c r="I417" s="2">
        <v>39</v>
      </c>
      <c r="J417">
        <v>43.93504664602338</v>
      </c>
      <c r="K417">
        <v>33.491769862630548</v>
      </c>
      <c r="L417" t="s">
        <v>39</v>
      </c>
      <c r="M417" t="s">
        <v>19</v>
      </c>
      <c r="N417" t="s">
        <v>20</v>
      </c>
    </row>
    <row r="418" spans="1:14">
      <c r="A418" t="s">
        <v>154</v>
      </c>
      <c r="B418" t="s">
        <v>155</v>
      </c>
      <c r="C418" t="s">
        <v>16</v>
      </c>
      <c r="D418" t="s">
        <v>42</v>
      </c>
      <c r="E418" s="2">
        <v>64769.990000000005</v>
      </c>
      <c r="F418" s="3"/>
      <c r="G418" s="3"/>
      <c r="H418" s="3"/>
      <c r="I418" s="2">
        <v>37</v>
      </c>
      <c r="J418">
        <v>64.569737003201638</v>
      </c>
      <c r="K418">
        <v>66.573201107488202</v>
      </c>
      <c r="L418" t="s">
        <v>18</v>
      </c>
      <c r="M418" t="s">
        <v>19</v>
      </c>
      <c r="N418" t="s">
        <v>20</v>
      </c>
    </row>
    <row r="419" spans="1:14">
      <c r="A419" t="s">
        <v>199</v>
      </c>
      <c r="B419" t="s">
        <v>200</v>
      </c>
      <c r="C419" t="s">
        <v>16</v>
      </c>
      <c r="D419" t="s">
        <v>42</v>
      </c>
      <c r="E419" s="2">
        <v>37035</v>
      </c>
      <c r="F419" s="3"/>
      <c r="G419" s="3">
        <v>8.3333333333333329E-2</v>
      </c>
      <c r="H419" s="3">
        <v>7.2363980018901042E-2</v>
      </c>
      <c r="I419" s="2">
        <v>24</v>
      </c>
      <c r="J419">
        <v>39.527879033346835</v>
      </c>
      <c r="K419">
        <v>36.702443634399891</v>
      </c>
      <c r="L419" t="s">
        <v>39</v>
      </c>
      <c r="M419" t="s">
        <v>19</v>
      </c>
      <c r="N419" t="s">
        <v>20</v>
      </c>
    </row>
    <row r="420" spans="1:14">
      <c r="A420" t="s">
        <v>213</v>
      </c>
      <c r="B420" t="s">
        <v>214</v>
      </c>
      <c r="C420" t="s">
        <v>16</v>
      </c>
      <c r="D420" t="s">
        <v>42</v>
      </c>
      <c r="E420" s="2">
        <v>322874.51</v>
      </c>
      <c r="F420" s="3"/>
      <c r="G420" s="3">
        <v>0.22727272727272727</v>
      </c>
      <c r="H420" s="3">
        <v>0.47719778188745837</v>
      </c>
      <c r="I420" s="2">
        <v>22</v>
      </c>
      <c r="J420">
        <v>52.674944516369528</v>
      </c>
      <c r="K420">
        <v>43.900203859387972</v>
      </c>
      <c r="L420" t="s">
        <v>39</v>
      </c>
      <c r="M420" t="s">
        <v>19</v>
      </c>
      <c r="N420" t="s">
        <v>20</v>
      </c>
    </row>
    <row r="421" spans="1:14">
      <c r="A421" t="s">
        <v>213</v>
      </c>
      <c r="B421" t="s">
        <v>233</v>
      </c>
      <c r="C421" t="s">
        <v>16</v>
      </c>
      <c r="D421" t="s">
        <v>42</v>
      </c>
      <c r="E421" s="2">
        <v>175534.61000000002</v>
      </c>
      <c r="F421" s="3"/>
      <c r="G421" s="3">
        <v>0.35</v>
      </c>
      <c r="H421" s="3">
        <v>0.6113039474095735</v>
      </c>
      <c r="I421" s="2">
        <v>20</v>
      </c>
      <c r="J421">
        <v>44.525390560845921</v>
      </c>
      <c r="K421">
        <v>38.66506305909985</v>
      </c>
      <c r="L421" t="s">
        <v>39</v>
      </c>
      <c r="M421" t="s">
        <v>19</v>
      </c>
      <c r="N421" t="s">
        <v>20</v>
      </c>
    </row>
    <row r="422" spans="1:14">
      <c r="A422" t="s">
        <v>266</v>
      </c>
      <c r="B422" t="s">
        <v>267</v>
      </c>
      <c r="C422" t="s">
        <v>16</v>
      </c>
      <c r="D422" t="s">
        <v>42</v>
      </c>
      <c r="E422" s="2">
        <v>212402.74</v>
      </c>
      <c r="F422" s="3"/>
      <c r="G422" s="3">
        <v>0.6428571428571429</v>
      </c>
      <c r="H422" s="3">
        <v>0.60453193777067105</v>
      </c>
      <c r="I422" s="2">
        <v>14</v>
      </c>
      <c r="J422">
        <v>33.725667663232592</v>
      </c>
      <c r="K422">
        <v>33.003342423925417</v>
      </c>
      <c r="L422" t="s">
        <v>24</v>
      </c>
      <c r="M422" t="s">
        <v>19</v>
      </c>
      <c r="N422" t="s">
        <v>20</v>
      </c>
    </row>
    <row r="423" spans="1:14">
      <c r="A423" t="s">
        <v>270</v>
      </c>
      <c r="B423" t="s">
        <v>271</v>
      </c>
      <c r="C423" t="s">
        <v>16</v>
      </c>
      <c r="D423" t="s">
        <v>42</v>
      </c>
      <c r="E423" s="2">
        <v>93582</v>
      </c>
      <c r="F423" s="3"/>
      <c r="G423" s="3">
        <v>0.7142857142857143</v>
      </c>
      <c r="H423" s="3">
        <v>0.80553952683208307</v>
      </c>
      <c r="I423" s="2">
        <v>14</v>
      </c>
      <c r="J423">
        <v>42.937103289094054</v>
      </c>
      <c r="K423">
        <v>42.004039238315059</v>
      </c>
      <c r="L423" t="s">
        <v>39</v>
      </c>
      <c r="M423" t="s">
        <v>19</v>
      </c>
      <c r="N423" t="s">
        <v>20</v>
      </c>
    </row>
    <row r="424" spans="1:14">
      <c r="A424" t="s">
        <v>282</v>
      </c>
      <c r="B424" t="s">
        <v>283</v>
      </c>
      <c r="C424" t="s">
        <v>16</v>
      </c>
      <c r="D424" t="s">
        <v>42</v>
      </c>
      <c r="E424" s="2">
        <v>62170.5</v>
      </c>
      <c r="F424" s="3"/>
      <c r="G424" s="3"/>
      <c r="H424" s="3"/>
      <c r="I424" s="2">
        <v>14</v>
      </c>
      <c r="J424">
        <v>35.73572675143356</v>
      </c>
      <c r="K424">
        <v>20.232328837631997</v>
      </c>
      <c r="L424" t="s">
        <v>39</v>
      </c>
      <c r="M424" t="s">
        <v>19</v>
      </c>
      <c r="N424" t="s">
        <v>20</v>
      </c>
    </row>
    <row r="425" spans="1:14">
      <c r="A425" t="s">
        <v>213</v>
      </c>
      <c r="B425" t="s">
        <v>351</v>
      </c>
      <c r="C425" t="s">
        <v>16</v>
      </c>
      <c r="D425" t="s">
        <v>42</v>
      </c>
      <c r="E425" s="2">
        <v>39111.040000000001</v>
      </c>
      <c r="F425" s="3"/>
      <c r="G425" s="3">
        <v>8.3333333333333329E-2</v>
      </c>
      <c r="H425" s="3">
        <v>0.40909165289391436</v>
      </c>
      <c r="I425" s="2">
        <v>12</v>
      </c>
      <c r="J425">
        <v>61.143151396638906</v>
      </c>
      <c r="K425">
        <v>51.5936881248875</v>
      </c>
      <c r="L425" t="s">
        <v>18</v>
      </c>
      <c r="M425" t="s">
        <v>19</v>
      </c>
      <c r="N425" t="s">
        <v>20</v>
      </c>
    </row>
    <row r="426" spans="1:14">
      <c r="A426" t="s">
        <v>358</v>
      </c>
      <c r="B426" t="s">
        <v>359</v>
      </c>
      <c r="C426" t="s">
        <v>16</v>
      </c>
      <c r="D426" t="s">
        <v>42</v>
      </c>
      <c r="E426" s="2">
        <v>98764.15</v>
      </c>
      <c r="F426" s="3"/>
      <c r="G426" s="3">
        <v>0.27272727272727271</v>
      </c>
      <c r="H426" s="3">
        <v>0.12557795515883041</v>
      </c>
      <c r="I426" s="2">
        <v>11</v>
      </c>
      <c r="J426">
        <v>46.418559467175079</v>
      </c>
      <c r="K426">
        <v>45</v>
      </c>
      <c r="L426" t="s">
        <v>39</v>
      </c>
      <c r="M426" t="s">
        <v>19</v>
      </c>
      <c r="N426" t="s">
        <v>20</v>
      </c>
    </row>
    <row r="427" spans="1:14">
      <c r="A427" t="s">
        <v>396</v>
      </c>
      <c r="B427" t="s">
        <v>397</v>
      </c>
      <c r="C427" t="s">
        <v>16</v>
      </c>
      <c r="D427" t="s">
        <v>42</v>
      </c>
      <c r="E427" s="2">
        <v>16559.740000000002</v>
      </c>
      <c r="F427" s="3"/>
      <c r="G427" s="3"/>
      <c r="H427" s="3"/>
      <c r="I427" s="2">
        <v>10</v>
      </c>
      <c r="J427">
        <v>41.337348291700231</v>
      </c>
      <c r="K427">
        <v>30.940170558233401</v>
      </c>
      <c r="L427" t="s">
        <v>18</v>
      </c>
      <c r="M427" t="s">
        <v>20</v>
      </c>
      <c r="N427" t="s">
        <v>19</v>
      </c>
    </row>
    <row r="428" spans="1:14">
      <c r="A428" t="s">
        <v>480</v>
      </c>
      <c r="B428" t="s">
        <v>481</v>
      </c>
      <c r="C428" t="s">
        <v>16</v>
      </c>
      <c r="D428" t="s">
        <v>42</v>
      </c>
      <c r="E428" s="2">
        <v>87442.5</v>
      </c>
      <c r="F428" s="3"/>
      <c r="G428" s="3"/>
      <c r="H428" s="3"/>
      <c r="I428" s="2">
        <v>8</v>
      </c>
      <c r="J428">
        <v>34.354198473282445</v>
      </c>
      <c r="K428">
        <v>30</v>
      </c>
      <c r="L428" t="s">
        <v>18</v>
      </c>
      <c r="M428" t="s">
        <v>19</v>
      </c>
      <c r="N428" t="s">
        <v>20</v>
      </c>
    </row>
    <row r="429" spans="1:14">
      <c r="A429" t="s">
        <v>492</v>
      </c>
      <c r="B429" t="s">
        <v>493</v>
      </c>
      <c r="C429" t="s">
        <v>16</v>
      </c>
      <c r="D429" t="s">
        <v>42</v>
      </c>
      <c r="E429" s="2">
        <v>103225.42</v>
      </c>
      <c r="F429" s="3"/>
      <c r="G429" s="3">
        <v>1</v>
      </c>
      <c r="H429" s="3">
        <v>1</v>
      </c>
      <c r="I429" s="2">
        <v>7</v>
      </c>
      <c r="J429">
        <v>31.440803244007146</v>
      </c>
      <c r="K429">
        <v>30</v>
      </c>
      <c r="L429" t="s">
        <v>34</v>
      </c>
      <c r="M429" t="s">
        <v>19</v>
      </c>
      <c r="N429" t="s">
        <v>20</v>
      </c>
    </row>
    <row r="430" spans="1:14">
      <c r="A430" t="s">
        <v>499</v>
      </c>
      <c r="B430" t="s">
        <v>500</v>
      </c>
      <c r="C430" t="s">
        <v>16</v>
      </c>
      <c r="D430" t="s">
        <v>42</v>
      </c>
      <c r="E430" s="2">
        <v>9098.2499999999982</v>
      </c>
      <c r="F430" s="3"/>
      <c r="G430" s="3">
        <v>0.2857142857142857</v>
      </c>
      <c r="H430" s="3">
        <v>0.34634572582639522</v>
      </c>
      <c r="I430" s="2">
        <v>7</v>
      </c>
      <c r="J430">
        <v>33.427112906328148</v>
      </c>
      <c r="K430">
        <v>7.0000000000000018</v>
      </c>
      <c r="L430" t="s">
        <v>18</v>
      </c>
      <c r="M430" t="s">
        <v>20</v>
      </c>
      <c r="N430" t="s">
        <v>19</v>
      </c>
    </row>
    <row r="431" spans="1:14">
      <c r="A431" t="s">
        <v>542</v>
      </c>
      <c r="B431" t="s">
        <v>543</v>
      </c>
      <c r="C431" t="s">
        <v>16</v>
      </c>
      <c r="D431" t="s">
        <v>42</v>
      </c>
      <c r="E431" s="2">
        <v>11246.48</v>
      </c>
      <c r="F431" s="3"/>
      <c r="G431" s="3">
        <v>0.33333333333333331</v>
      </c>
      <c r="H431" s="3">
        <v>0.29075764150205219</v>
      </c>
      <c r="I431" s="2">
        <v>6</v>
      </c>
      <c r="J431">
        <v>26.110463007091997</v>
      </c>
      <c r="K431">
        <v>25.347877735967167</v>
      </c>
      <c r="L431" t="s">
        <v>24</v>
      </c>
      <c r="M431" t="s">
        <v>19</v>
      </c>
      <c r="N431" t="s">
        <v>19</v>
      </c>
    </row>
    <row r="432" spans="1:14">
      <c r="A432" t="s">
        <v>548</v>
      </c>
      <c r="B432" t="s">
        <v>549</v>
      </c>
      <c r="C432" t="s">
        <v>16</v>
      </c>
      <c r="D432" t="s">
        <v>42</v>
      </c>
      <c r="E432" s="2">
        <v>14519.75</v>
      </c>
      <c r="F432" s="3"/>
      <c r="G432" s="3">
        <v>1</v>
      </c>
      <c r="H432" s="3">
        <v>1</v>
      </c>
      <c r="I432" s="2">
        <v>6</v>
      </c>
      <c r="J432">
        <v>28.517295407978789</v>
      </c>
      <c r="K432">
        <v>30</v>
      </c>
      <c r="L432" t="s">
        <v>34</v>
      </c>
      <c r="M432" t="s">
        <v>19</v>
      </c>
      <c r="N432" t="s">
        <v>20</v>
      </c>
    </row>
    <row r="433" spans="1:14">
      <c r="A433" t="s">
        <v>570</v>
      </c>
      <c r="B433" t="s">
        <v>571</v>
      </c>
      <c r="C433" t="s">
        <v>16</v>
      </c>
      <c r="D433" t="s">
        <v>42</v>
      </c>
      <c r="E433" s="2">
        <v>6552</v>
      </c>
      <c r="F433" s="3"/>
      <c r="G433" s="3">
        <v>1</v>
      </c>
      <c r="H433" s="3">
        <v>1</v>
      </c>
      <c r="I433" s="2">
        <v>5</v>
      </c>
      <c r="J433">
        <v>60.972527472527474</v>
      </c>
      <c r="K433">
        <v>60</v>
      </c>
      <c r="L433" t="s">
        <v>18</v>
      </c>
      <c r="M433" t="s">
        <v>19</v>
      </c>
      <c r="N433" t="s">
        <v>20</v>
      </c>
    </row>
    <row r="434" spans="1:14">
      <c r="A434" t="s">
        <v>609</v>
      </c>
      <c r="B434" t="s">
        <v>610</v>
      </c>
      <c r="C434" t="s">
        <v>16</v>
      </c>
      <c r="D434" t="s">
        <v>42</v>
      </c>
      <c r="E434" s="2">
        <v>21998</v>
      </c>
      <c r="F434" s="3"/>
      <c r="G434" s="3"/>
      <c r="H434" s="3"/>
      <c r="I434" s="2">
        <v>4</v>
      </c>
      <c r="J434">
        <v>25.886626056914263</v>
      </c>
      <c r="K434">
        <v>27.759205382307481</v>
      </c>
      <c r="L434" t="s">
        <v>316</v>
      </c>
      <c r="M434" t="s">
        <v>19</v>
      </c>
      <c r="N434" t="s">
        <v>20</v>
      </c>
    </row>
    <row r="435" spans="1:14">
      <c r="A435" t="s">
        <v>621</v>
      </c>
      <c r="B435" t="s">
        <v>622</v>
      </c>
      <c r="C435" t="s">
        <v>16</v>
      </c>
      <c r="D435" t="s">
        <v>42</v>
      </c>
      <c r="E435" s="2">
        <v>13505.57</v>
      </c>
      <c r="F435" s="3"/>
      <c r="G435" s="3"/>
      <c r="H435" s="3"/>
      <c r="I435" s="2">
        <v>4</v>
      </c>
      <c r="J435">
        <v>46.939921084411843</v>
      </c>
      <c r="K435">
        <v>45.571353152810282</v>
      </c>
      <c r="L435" t="s">
        <v>39</v>
      </c>
      <c r="M435" t="s">
        <v>19</v>
      </c>
      <c r="N435" t="s">
        <v>20</v>
      </c>
    </row>
    <row r="436" spans="1:14">
      <c r="A436" t="s">
        <v>643</v>
      </c>
      <c r="B436" t="s">
        <v>644</v>
      </c>
      <c r="C436" t="s">
        <v>16</v>
      </c>
      <c r="D436" t="s">
        <v>42</v>
      </c>
      <c r="E436" s="2">
        <v>9702.5</v>
      </c>
      <c r="F436" s="3"/>
      <c r="G436" s="3"/>
      <c r="H436" s="3"/>
      <c r="I436" s="2">
        <v>4</v>
      </c>
      <c r="J436">
        <v>320.87168255604223</v>
      </c>
      <c r="K436">
        <v>30</v>
      </c>
      <c r="L436" t="s">
        <v>34</v>
      </c>
      <c r="M436" t="s">
        <v>19</v>
      </c>
      <c r="N436" t="s">
        <v>19</v>
      </c>
    </row>
    <row r="437" spans="1:14">
      <c r="A437" t="s">
        <v>213</v>
      </c>
      <c r="B437" t="s">
        <v>645</v>
      </c>
      <c r="C437" t="s">
        <v>16</v>
      </c>
      <c r="D437" t="s">
        <v>42</v>
      </c>
      <c r="E437" s="2">
        <v>11002.2</v>
      </c>
      <c r="F437" s="3"/>
      <c r="G437" s="3"/>
      <c r="H437" s="3"/>
      <c r="I437" s="2">
        <v>4</v>
      </c>
      <c r="J437">
        <v>40.866717565577787</v>
      </c>
      <c r="K437">
        <v>37.147025140426457</v>
      </c>
      <c r="L437" t="s">
        <v>646</v>
      </c>
      <c r="M437" t="s">
        <v>20</v>
      </c>
      <c r="N437" t="s">
        <v>19</v>
      </c>
    </row>
    <row r="438" spans="1:14">
      <c r="A438" t="s">
        <v>654</v>
      </c>
      <c r="B438" t="s">
        <v>655</v>
      </c>
      <c r="C438" t="s">
        <v>16</v>
      </c>
      <c r="D438" t="s">
        <v>42</v>
      </c>
      <c r="E438" s="2">
        <v>6760.7999999999993</v>
      </c>
      <c r="F438" s="3"/>
      <c r="G438" s="3">
        <v>1</v>
      </c>
      <c r="H438" s="3">
        <v>1</v>
      </c>
      <c r="I438" s="2">
        <v>3</v>
      </c>
      <c r="J438">
        <v>45.913684771033019</v>
      </c>
      <c r="K438">
        <v>45.000000000000007</v>
      </c>
      <c r="L438" t="s">
        <v>39</v>
      </c>
      <c r="M438" t="s">
        <v>20</v>
      </c>
      <c r="N438" t="s">
        <v>20</v>
      </c>
    </row>
    <row r="439" spans="1:14">
      <c r="A439" t="s">
        <v>660</v>
      </c>
      <c r="B439" t="s">
        <v>661</v>
      </c>
      <c r="C439" t="s">
        <v>16</v>
      </c>
      <c r="D439" t="s">
        <v>42</v>
      </c>
      <c r="E439" s="2">
        <v>42800</v>
      </c>
      <c r="F439" s="3"/>
      <c r="G439" s="3">
        <v>1</v>
      </c>
      <c r="H439" s="3">
        <v>1</v>
      </c>
      <c r="I439" s="2">
        <v>3</v>
      </c>
      <c r="J439">
        <v>48.158878504672899</v>
      </c>
      <c r="K439">
        <v>45</v>
      </c>
      <c r="L439" t="s">
        <v>18</v>
      </c>
      <c r="M439" t="s">
        <v>19</v>
      </c>
      <c r="N439" t="s">
        <v>20</v>
      </c>
    </row>
    <row r="440" spans="1:14">
      <c r="A440" t="s">
        <v>680</v>
      </c>
      <c r="B440" t="s">
        <v>681</v>
      </c>
      <c r="C440" t="s">
        <v>16</v>
      </c>
      <c r="D440" t="s">
        <v>42</v>
      </c>
      <c r="E440" s="2">
        <v>37651.990000000005</v>
      </c>
      <c r="F440" s="3"/>
      <c r="G440" s="3">
        <v>1</v>
      </c>
      <c r="H440" s="3">
        <v>1</v>
      </c>
      <c r="I440" s="2">
        <v>3</v>
      </c>
      <c r="J440">
        <v>83.963033826366143</v>
      </c>
      <c r="K440">
        <v>59.999999999999986</v>
      </c>
      <c r="L440" t="s">
        <v>18</v>
      </c>
      <c r="M440" t="s">
        <v>19</v>
      </c>
      <c r="N440" t="s">
        <v>20</v>
      </c>
    </row>
    <row r="441" spans="1:14">
      <c r="A441" t="s">
        <v>690</v>
      </c>
      <c r="B441" t="s">
        <v>691</v>
      </c>
      <c r="C441" t="s">
        <v>16</v>
      </c>
      <c r="D441" t="s">
        <v>42</v>
      </c>
      <c r="E441" s="2">
        <v>2810</v>
      </c>
      <c r="F441" s="3"/>
      <c r="G441" s="3">
        <v>1</v>
      </c>
      <c r="H441" s="3">
        <v>1</v>
      </c>
      <c r="I441" s="2">
        <v>3</v>
      </c>
      <c r="J441">
        <v>80.619217081850536</v>
      </c>
      <c r="K441">
        <v>44.145907473309606</v>
      </c>
      <c r="L441" t="s">
        <v>34</v>
      </c>
      <c r="M441" t="s">
        <v>19</v>
      </c>
      <c r="N441" t="s">
        <v>20</v>
      </c>
    </row>
    <row r="442" spans="1:14">
      <c r="A442" t="s">
        <v>698</v>
      </c>
      <c r="B442" t="s">
        <v>699</v>
      </c>
      <c r="C442" t="s">
        <v>16</v>
      </c>
      <c r="D442" t="s">
        <v>42</v>
      </c>
      <c r="E442" s="2">
        <v>3652.54</v>
      </c>
      <c r="F442" s="3"/>
      <c r="G442" s="3"/>
      <c r="H442" s="3"/>
      <c r="I442" s="2">
        <v>3</v>
      </c>
      <c r="J442">
        <v>1</v>
      </c>
      <c r="K442">
        <v>5</v>
      </c>
      <c r="L442" t="s">
        <v>18</v>
      </c>
      <c r="M442" t="s">
        <v>20</v>
      </c>
      <c r="N442" t="s">
        <v>19</v>
      </c>
    </row>
    <row r="443" spans="1:14">
      <c r="A443" t="s">
        <v>712</v>
      </c>
      <c r="B443" t="s">
        <v>713</v>
      </c>
      <c r="C443" t="s">
        <v>16</v>
      </c>
      <c r="D443" t="s">
        <v>42</v>
      </c>
      <c r="E443" s="2">
        <v>2741.31</v>
      </c>
      <c r="F443" s="3"/>
      <c r="G443" s="3"/>
      <c r="H443" s="3"/>
      <c r="I443" s="2">
        <v>3</v>
      </c>
      <c r="J443">
        <v>21.616413320638674</v>
      </c>
      <c r="K443">
        <v>17.713647854492926</v>
      </c>
      <c r="L443" t="s">
        <v>39</v>
      </c>
      <c r="M443" t="s">
        <v>19</v>
      </c>
      <c r="N443" t="s">
        <v>20</v>
      </c>
    </row>
    <row r="444" spans="1:14">
      <c r="A444" t="s">
        <v>716</v>
      </c>
      <c r="B444" t="s">
        <v>717</v>
      </c>
      <c r="C444" t="s">
        <v>16</v>
      </c>
      <c r="D444" t="s">
        <v>42</v>
      </c>
      <c r="E444" s="2">
        <v>13429.42</v>
      </c>
      <c r="F444" s="3"/>
      <c r="G444" s="3">
        <v>1</v>
      </c>
      <c r="H444" s="3">
        <v>1</v>
      </c>
      <c r="I444" s="2">
        <v>3</v>
      </c>
      <c r="J444">
        <v>28.56795006783614</v>
      </c>
      <c r="K444">
        <v>29.999999999999996</v>
      </c>
      <c r="L444" t="s">
        <v>34</v>
      </c>
      <c r="M444" t="s">
        <v>19</v>
      </c>
      <c r="N444" t="s">
        <v>20</v>
      </c>
    </row>
    <row r="445" spans="1:14">
      <c r="A445" t="s">
        <v>732</v>
      </c>
      <c r="B445" t="s">
        <v>733</v>
      </c>
      <c r="C445" t="s">
        <v>16</v>
      </c>
      <c r="D445" t="s">
        <v>42</v>
      </c>
      <c r="E445" s="2">
        <v>12172</v>
      </c>
      <c r="F445" s="3"/>
      <c r="G445" s="3">
        <v>0.33333333333333331</v>
      </c>
      <c r="H445" s="3">
        <v>0.88087413736444298</v>
      </c>
      <c r="I445" s="2">
        <v>3</v>
      </c>
      <c r="J445">
        <v>33.880874137364444</v>
      </c>
      <c r="K445">
        <v>28.093986197831089</v>
      </c>
      <c r="L445" t="s">
        <v>18</v>
      </c>
      <c r="M445" t="s">
        <v>19</v>
      </c>
      <c r="N445" t="s">
        <v>20</v>
      </c>
    </row>
    <row r="446" spans="1:14">
      <c r="A446" t="s">
        <v>754</v>
      </c>
      <c r="B446" t="s">
        <v>755</v>
      </c>
      <c r="C446" t="s">
        <v>16</v>
      </c>
      <c r="D446" t="s">
        <v>42</v>
      </c>
      <c r="E446" s="2">
        <v>13835.310000000001</v>
      </c>
      <c r="F446" s="3"/>
      <c r="G446" s="3"/>
      <c r="H446" s="3"/>
      <c r="I446" s="2">
        <v>2</v>
      </c>
      <c r="J446">
        <v>27.307771202813669</v>
      </c>
      <c r="K446">
        <v>23.777201233655045</v>
      </c>
      <c r="L446" t="s">
        <v>18</v>
      </c>
      <c r="M446" t="s">
        <v>20</v>
      </c>
      <c r="N446" t="s">
        <v>19</v>
      </c>
    </row>
    <row r="447" spans="1:14">
      <c r="A447" t="s">
        <v>768</v>
      </c>
      <c r="B447" t="s">
        <v>769</v>
      </c>
      <c r="C447" t="s">
        <v>16</v>
      </c>
      <c r="D447" t="s">
        <v>42</v>
      </c>
      <c r="E447" s="2">
        <v>300</v>
      </c>
      <c r="F447" s="3"/>
      <c r="G447" s="3"/>
      <c r="H447" s="3"/>
      <c r="I447" s="2">
        <v>2</v>
      </c>
      <c r="J447">
        <v>41</v>
      </c>
      <c r="K447">
        <v>30</v>
      </c>
      <c r="L447" t="s">
        <v>34</v>
      </c>
      <c r="M447" t="s">
        <v>19</v>
      </c>
      <c r="N447" t="s">
        <v>20</v>
      </c>
    </row>
    <row r="448" spans="1:14">
      <c r="A448" t="s">
        <v>770</v>
      </c>
      <c r="B448" t="s">
        <v>771</v>
      </c>
      <c r="C448" t="s">
        <v>16</v>
      </c>
      <c r="D448" t="s">
        <v>42</v>
      </c>
      <c r="E448" s="2">
        <v>16668</v>
      </c>
      <c r="F448" s="3"/>
      <c r="G448" s="3"/>
      <c r="H448" s="3"/>
      <c r="I448" s="2">
        <v>2</v>
      </c>
      <c r="J448">
        <v>136</v>
      </c>
      <c r="K448">
        <v>60</v>
      </c>
      <c r="L448" t="s">
        <v>18</v>
      </c>
      <c r="M448" t="s">
        <v>19</v>
      </c>
      <c r="N448" t="s">
        <v>20</v>
      </c>
    </row>
    <row r="449" spans="1:14">
      <c r="A449" t="s">
        <v>772</v>
      </c>
      <c r="B449" t="s">
        <v>773</v>
      </c>
      <c r="C449" t="s">
        <v>16</v>
      </c>
      <c r="D449" t="s">
        <v>42</v>
      </c>
      <c r="E449" s="2">
        <v>29443.5</v>
      </c>
      <c r="F449" s="3"/>
      <c r="G449" s="3"/>
      <c r="H449" s="3"/>
      <c r="I449" s="2">
        <v>2</v>
      </c>
      <c r="J449">
        <v>40.904172397982578</v>
      </c>
      <c r="K449">
        <v>30.504355800091702</v>
      </c>
      <c r="L449" t="s">
        <v>39</v>
      </c>
      <c r="M449" t="s">
        <v>19</v>
      </c>
      <c r="N449" t="s">
        <v>20</v>
      </c>
    </row>
    <row r="450" spans="1:14">
      <c r="A450" t="s">
        <v>778</v>
      </c>
      <c r="B450" t="s">
        <v>779</v>
      </c>
      <c r="C450" t="s">
        <v>16</v>
      </c>
      <c r="D450" t="s">
        <v>42</v>
      </c>
      <c r="E450" s="2">
        <v>0</v>
      </c>
      <c r="F450" s="3"/>
      <c r="G450" s="3"/>
      <c r="H450" s="3"/>
      <c r="I450" s="2">
        <v>2</v>
      </c>
      <c r="J450">
        <v>35</v>
      </c>
      <c r="K450">
        <v>40</v>
      </c>
      <c r="L450" t="s">
        <v>24</v>
      </c>
      <c r="M450" t="s">
        <v>19</v>
      </c>
      <c r="N450" t="s">
        <v>20</v>
      </c>
    </row>
    <row r="451" spans="1:14">
      <c r="A451" t="s">
        <v>804</v>
      </c>
      <c r="B451" t="s">
        <v>805</v>
      </c>
      <c r="C451" t="s">
        <v>16</v>
      </c>
      <c r="D451" t="s">
        <v>42</v>
      </c>
      <c r="E451" s="2">
        <v>11733.5</v>
      </c>
      <c r="F451" s="3"/>
      <c r="G451" s="3"/>
      <c r="H451" s="3"/>
      <c r="I451" s="2">
        <v>2</v>
      </c>
      <c r="J451">
        <v>85.158776153747823</v>
      </c>
      <c r="K451">
        <v>55.567818638939791</v>
      </c>
      <c r="L451" t="s">
        <v>34</v>
      </c>
      <c r="M451" t="s">
        <v>19</v>
      </c>
      <c r="N451" t="s">
        <v>20</v>
      </c>
    </row>
    <row r="452" spans="1:14">
      <c r="A452" t="s">
        <v>832</v>
      </c>
      <c r="B452" t="s">
        <v>833</v>
      </c>
      <c r="C452" t="s">
        <v>16</v>
      </c>
      <c r="D452" t="s">
        <v>42</v>
      </c>
      <c r="E452" s="2">
        <v>3887</v>
      </c>
      <c r="F452" s="3"/>
      <c r="G452" s="3"/>
      <c r="H452" s="3"/>
      <c r="I452" s="2">
        <v>2</v>
      </c>
      <c r="J452">
        <v>16.952405454077695</v>
      </c>
      <c r="K452">
        <v>14.707486493439671</v>
      </c>
      <c r="L452" t="s">
        <v>18</v>
      </c>
      <c r="M452" t="s">
        <v>19</v>
      </c>
      <c r="N452" t="s">
        <v>20</v>
      </c>
    </row>
    <row r="453" spans="1:14">
      <c r="A453" t="s">
        <v>838</v>
      </c>
      <c r="B453" t="s">
        <v>839</v>
      </c>
      <c r="C453" t="s">
        <v>16</v>
      </c>
      <c r="D453" t="s">
        <v>42</v>
      </c>
      <c r="E453" s="2">
        <v>522.6</v>
      </c>
      <c r="F453" s="3"/>
      <c r="G453" s="3"/>
      <c r="H453" s="3"/>
      <c r="I453" s="2">
        <v>2</v>
      </c>
      <c r="J453">
        <v>17.999999999999996</v>
      </c>
      <c r="K453">
        <v>14</v>
      </c>
      <c r="L453" t="s">
        <v>34</v>
      </c>
      <c r="M453" t="s">
        <v>19</v>
      </c>
      <c r="N453" t="s">
        <v>20</v>
      </c>
    </row>
    <row r="454" spans="1:14">
      <c r="A454" t="s">
        <v>857</v>
      </c>
      <c r="B454" t="s">
        <v>858</v>
      </c>
      <c r="C454" t="s">
        <v>16</v>
      </c>
      <c r="D454" t="s">
        <v>42</v>
      </c>
      <c r="E454" s="2">
        <v>3299</v>
      </c>
      <c r="F454" s="3"/>
      <c r="G454" s="3"/>
      <c r="H454" s="3"/>
      <c r="I454" s="2">
        <v>2</v>
      </c>
      <c r="J454">
        <v>82.166414064868135</v>
      </c>
      <c r="K454">
        <v>60</v>
      </c>
      <c r="L454" t="s">
        <v>18</v>
      </c>
      <c r="M454" t="s">
        <v>19</v>
      </c>
      <c r="N454" t="s">
        <v>20</v>
      </c>
    </row>
    <row r="455" spans="1:14">
      <c r="A455" t="s">
        <v>865</v>
      </c>
      <c r="B455" t="s">
        <v>866</v>
      </c>
      <c r="C455" t="s">
        <v>16</v>
      </c>
      <c r="D455" t="s">
        <v>42</v>
      </c>
      <c r="E455" s="2">
        <v>30000</v>
      </c>
      <c r="F455" s="3"/>
      <c r="G455" s="3">
        <v>1</v>
      </c>
      <c r="H455" s="3">
        <v>1</v>
      </c>
      <c r="I455" s="2">
        <v>2</v>
      </c>
      <c r="J455">
        <v>62</v>
      </c>
      <c r="K455">
        <v>60</v>
      </c>
      <c r="L455" t="s">
        <v>18</v>
      </c>
      <c r="M455" t="s">
        <v>19</v>
      </c>
      <c r="N455" t="s">
        <v>20</v>
      </c>
    </row>
    <row r="456" spans="1:14">
      <c r="A456" t="s">
        <v>871</v>
      </c>
      <c r="B456" t="s">
        <v>872</v>
      </c>
      <c r="C456" t="s">
        <v>16</v>
      </c>
      <c r="D456" t="s">
        <v>42</v>
      </c>
      <c r="E456" s="2">
        <v>35000</v>
      </c>
      <c r="F456" s="3"/>
      <c r="G456" s="3"/>
      <c r="H456" s="3"/>
      <c r="I456" s="2">
        <v>2</v>
      </c>
      <c r="J456">
        <v>44.5</v>
      </c>
      <c r="K456">
        <v>34.5</v>
      </c>
      <c r="L456" t="s">
        <v>18</v>
      </c>
      <c r="M456" t="s">
        <v>19</v>
      </c>
      <c r="N456" t="s">
        <v>20</v>
      </c>
    </row>
    <row r="457" spans="1:14">
      <c r="A457" t="s">
        <v>881</v>
      </c>
      <c r="B457" t="s">
        <v>882</v>
      </c>
      <c r="C457" t="s">
        <v>16</v>
      </c>
      <c r="D457" t="s">
        <v>42</v>
      </c>
      <c r="E457" s="2">
        <v>15600</v>
      </c>
      <c r="F457" s="3"/>
      <c r="G457" s="3"/>
      <c r="H457" s="3"/>
      <c r="I457" s="2">
        <v>2</v>
      </c>
      <c r="J457">
        <v>15.307692307692308</v>
      </c>
      <c r="K457">
        <v>21</v>
      </c>
      <c r="L457" t="s">
        <v>316</v>
      </c>
      <c r="M457" t="s">
        <v>19</v>
      </c>
      <c r="N457" t="s">
        <v>20</v>
      </c>
    </row>
    <row r="458" spans="1:14">
      <c r="A458" t="s">
        <v>213</v>
      </c>
      <c r="B458" t="s">
        <v>883</v>
      </c>
      <c r="C458" t="s">
        <v>16</v>
      </c>
      <c r="D458" t="s">
        <v>42</v>
      </c>
      <c r="E458" s="2">
        <v>1548.7</v>
      </c>
      <c r="F458" s="3"/>
      <c r="G458" s="3">
        <v>0.5</v>
      </c>
      <c r="H458" s="3">
        <v>0.96855427132433647</v>
      </c>
      <c r="I458" s="2">
        <v>2</v>
      </c>
      <c r="J458">
        <v>47.716988441919028</v>
      </c>
      <c r="K458">
        <v>44.245302511784075</v>
      </c>
      <c r="L458" t="s">
        <v>316</v>
      </c>
      <c r="M458" t="s">
        <v>19</v>
      </c>
      <c r="N458" t="s">
        <v>19</v>
      </c>
    </row>
    <row r="459" spans="1:14">
      <c r="A459" t="s">
        <v>888</v>
      </c>
      <c r="B459" t="s">
        <v>889</v>
      </c>
      <c r="C459" t="s">
        <v>16</v>
      </c>
      <c r="D459" t="s">
        <v>42</v>
      </c>
      <c r="E459" s="2">
        <v>4679.33</v>
      </c>
      <c r="F459" s="3"/>
      <c r="G459" s="3"/>
      <c r="H459" s="3"/>
      <c r="I459" s="2">
        <v>2</v>
      </c>
      <c r="J459">
        <v>76.264608394791566</v>
      </c>
      <c r="K459">
        <v>14</v>
      </c>
      <c r="L459" t="s">
        <v>39</v>
      </c>
      <c r="M459" t="s">
        <v>19</v>
      </c>
      <c r="N459" t="s">
        <v>20</v>
      </c>
    </row>
    <row r="460" spans="1:14">
      <c r="A460" t="s">
        <v>906</v>
      </c>
      <c r="B460" t="s">
        <v>907</v>
      </c>
      <c r="C460" t="s">
        <v>16</v>
      </c>
      <c r="D460" t="s">
        <v>42</v>
      </c>
      <c r="E460" s="2">
        <v>384</v>
      </c>
      <c r="F460" s="3"/>
      <c r="G460" s="3"/>
      <c r="H460" s="3"/>
      <c r="I460" s="2">
        <v>1</v>
      </c>
      <c r="J460">
        <v>79</v>
      </c>
      <c r="K460">
        <v>60</v>
      </c>
      <c r="L460" t="s">
        <v>18</v>
      </c>
      <c r="M460" t="s">
        <v>19</v>
      </c>
      <c r="N460" t="s">
        <v>20</v>
      </c>
    </row>
    <row r="461" spans="1:14">
      <c r="A461" t="s">
        <v>912</v>
      </c>
      <c r="B461" t="s">
        <v>913</v>
      </c>
      <c r="C461" t="s">
        <v>16</v>
      </c>
      <c r="D461" t="s">
        <v>42</v>
      </c>
      <c r="E461" s="2">
        <v>1605</v>
      </c>
      <c r="F461" s="3"/>
      <c r="G461" s="3"/>
      <c r="H461" s="3"/>
      <c r="I461" s="2">
        <v>1</v>
      </c>
      <c r="J461">
        <v>29</v>
      </c>
      <c r="K461">
        <v>30</v>
      </c>
      <c r="L461" t="s">
        <v>18</v>
      </c>
      <c r="M461" t="s">
        <v>20</v>
      </c>
      <c r="N461" t="s">
        <v>20</v>
      </c>
    </row>
    <row r="462" spans="1:14">
      <c r="A462" t="s">
        <v>922</v>
      </c>
      <c r="B462" t="s">
        <v>923</v>
      </c>
      <c r="C462" t="s">
        <v>16</v>
      </c>
      <c r="D462" t="s">
        <v>42</v>
      </c>
      <c r="E462" s="2">
        <v>1500</v>
      </c>
      <c r="F462" s="3"/>
      <c r="G462" s="3">
        <v>1</v>
      </c>
      <c r="H462" s="3">
        <v>1</v>
      </c>
      <c r="I462" s="2">
        <v>1</v>
      </c>
      <c r="J462">
        <v>14</v>
      </c>
      <c r="K462">
        <v>14</v>
      </c>
      <c r="L462" t="s">
        <v>24</v>
      </c>
      <c r="M462" t="s">
        <v>19</v>
      </c>
      <c r="N462" t="s">
        <v>20</v>
      </c>
    </row>
    <row r="463" spans="1:14">
      <c r="A463" t="s">
        <v>948</v>
      </c>
      <c r="B463" t="s">
        <v>949</v>
      </c>
      <c r="C463" t="s">
        <v>16</v>
      </c>
      <c r="D463" t="s">
        <v>42</v>
      </c>
      <c r="E463" s="2">
        <v>2940</v>
      </c>
      <c r="F463" s="3"/>
      <c r="G463" s="3"/>
      <c r="H463" s="3"/>
      <c r="I463" s="2">
        <v>1</v>
      </c>
      <c r="J463">
        <v>21</v>
      </c>
      <c r="K463">
        <v>14</v>
      </c>
      <c r="L463" t="s">
        <v>18</v>
      </c>
      <c r="M463" t="s">
        <v>19</v>
      </c>
      <c r="N463" t="s">
        <v>20</v>
      </c>
    </row>
    <row r="464" spans="1:14">
      <c r="A464" t="s">
        <v>960</v>
      </c>
      <c r="B464" t="s">
        <v>961</v>
      </c>
      <c r="C464" t="s">
        <v>16</v>
      </c>
      <c r="D464" t="s">
        <v>42</v>
      </c>
      <c r="E464" s="2">
        <v>150</v>
      </c>
      <c r="F464" s="3"/>
      <c r="G464" s="3"/>
      <c r="H464" s="3"/>
      <c r="I464" s="2">
        <v>1</v>
      </c>
      <c r="J464">
        <v>40</v>
      </c>
      <c r="K464">
        <v>30</v>
      </c>
      <c r="L464" t="s">
        <v>39</v>
      </c>
      <c r="M464" t="s">
        <v>19</v>
      </c>
      <c r="N464" t="s">
        <v>20</v>
      </c>
    </row>
    <row r="465" spans="1:14">
      <c r="A465" t="s">
        <v>968</v>
      </c>
      <c r="B465" t="s">
        <v>969</v>
      </c>
      <c r="C465" t="s">
        <v>16</v>
      </c>
      <c r="D465" t="s">
        <v>42</v>
      </c>
      <c r="E465" s="2">
        <v>7500</v>
      </c>
      <c r="F465" s="3"/>
      <c r="G465" s="3">
        <v>1</v>
      </c>
      <c r="H465" s="3">
        <v>1</v>
      </c>
      <c r="I465" s="2">
        <v>1</v>
      </c>
      <c r="J465">
        <v>58</v>
      </c>
      <c r="K465">
        <v>60</v>
      </c>
      <c r="L465" t="s">
        <v>18</v>
      </c>
      <c r="M465" t="s">
        <v>19</v>
      </c>
      <c r="N465" t="s">
        <v>20</v>
      </c>
    </row>
    <row r="466" spans="1:14">
      <c r="A466" t="s">
        <v>974</v>
      </c>
      <c r="B466" t="s">
        <v>975</v>
      </c>
      <c r="C466" t="s">
        <v>16</v>
      </c>
      <c r="D466" t="s">
        <v>42</v>
      </c>
      <c r="E466" s="2">
        <v>775</v>
      </c>
      <c r="F466" s="3"/>
      <c r="G466" s="3"/>
      <c r="H466" s="3"/>
      <c r="I466" s="2">
        <v>1</v>
      </c>
      <c r="J466">
        <v>134</v>
      </c>
      <c r="K466">
        <v>14</v>
      </c>
      <c r="L466" t="s">
        <v>34</v>
      </c>
      <c r="M466" t="s">
        <v>19</v>
      </c>
      <c r="N466" t="s">
        <v>20</v>
      </c>
    </row>
    <row r="467" spans="1:14">
      <c r="A467" t="s">
        <v>978</v>
      </c>
      <c r="B467" t="s">
        <v>979</v>
      </c>
      <c r="C467" t="s">
        <v>16</v>
      </c>
      <c r="D467" t="s">
        <v>42</v>
      </c>
      <c r="E467" s="2">
        <v>10000</v>
      </c>
      <c r="F467" s="3"/>
      <c r="G467" s="3"/>
      <c r="H467" s="3"/>
      <c r="I467" s="2">
        <v>1</v>
      </c>
      <c r="J467">
        <v>179</v>
      </c>
      <c r="K467">
        <v>14</v>
      </c>
      <c r="L467" t="s">
        <v>18</v>
      </c>
      <c r="M467" t="s">
        <v>19</v>
      </c>
      <c r="N467" t="s">
        <v>20</v>
      </c>
    </row>
    <row r="468" spans="1:14">
      <c r="A468" t="s">
        <v>998</v>
      </c>
      <c r="B468" t="s">
        <v>999</v>
      </c>
      <c r="C468" t="s">
        <v>16</v>
      </c>
      <c r="D468" t="s">
        <v>42</v>
      </c>
      <c r="E468" s="2">
        <v>305</v>
      </c>
      <c r="F468" s="3"/>
      <c r="G468" s="3">
        <v>1</v>
      </c>
      <c r="H468" s="3">
        <v>1</v>
      </c>
      <c r="I468" s="2">
        <v>1</v>
      </c>
      <c r="J468">
        <v>61</v>
      </c>
      <c r="K468">
        <v>60</v>
      </c>
      <c r="L468" t="s">
        <v>18</v>
      </c>
      <c r="M468" t="s">
        <v>19</v>
      </c>
      <c r="N468" t="s">
        <v>20</v>
      </c>
    </row>
    <row r="469" spans="1:14">
      <c r="A469" t="s">
        <v>1003</v>
      </c>
      <c r="B469" t="s">
        <v>1004</v>
      </c>
      <c r="C469" t="s">
        <v>16</v>
      </c>
      <c r="D469" t="s">
        <v>42</v>
      </c>
      <c r="E469" s="2">
        <v>22750</v>
      </c>
      <c r="F469" s="3"/>
      <c r="G469" s="3"/>
      <c r="H469" s="3"/>
      <c r="I469" s="2">
        <v>1</v>
      </c>
      <c r="J469">
        <v>34</v>
      </c>
      <c r="K469">
        <v>30</v>
      </c>
      <c r="L469" t="s">
        <v>18</v>
      </c>
      <c r="M469" t="s">
        <v>19</v>
      </c>
      <c r="N469" t="s">
        <v>20</v>
      </c>
    </row>
    <row r="470" spans="1:14">
      <c r="A470" t="s">
        <v>1104</v>
      </c>
      <c r="B470" t="s">
        <v>1105</v>
      </c>
      <c r="C470" t="s">
        <v>16</v>
      </c>
      <c r="D470" t="s">
        <v>42</v>
      </c>
      <c r="E470" s="2">
        <v>19356.27</v>
      </c>
      <c r="F470" s="3"/>
      <c r="G470" s="3"/>
      <c r="H470" s="3"/>
      <c r="I470" s="2">
        <v>1</v>
      </c>
      <c r="J470">
        <v>223</v>
      </c>
      <c r="K470">
        <v>59.999999999999993</v>
      </c>
      <c r="L470" t="s">
        <v>18</v>
      </c>
      <c r="M470" t="s">
        <v>19</v>
      </c>
      <c r="N470" t="s">
        <v>20</v>
      </c>
    </row>
    <row r="471" spans="1:14">
      <c r="A471" t="s">
        <v>1136</v>
      </c>
      <c r="B471" t="s">
        <v>1137</v>
      </c>
      <c r="C471" t="s">
        <v>16</v>
      </c>
      <c r="D471" t="s">
        <v>42</v>
      </c>
      <c r="E471" s="2">
        <v>61442.2</v>
      </c>
      <c r="F471" s="3"/>
      <c r="G471" s="3"/>
      <c r="H471" s="3"/>
      <c r="I471" s="2">
        <v>1</v>
      </c>
      <c r="J471">
        <v>33</v>
      </c>
      <c r="K471">
        <v>30</v>
      </c>
      <c r="L471" t="s">
        <v>18</v>
      </c>
      <c r="M471" t="s">
        <v>20</v>
      </c>
      <c r="N471" t="s">
        <v>19</v>
      </c>
    </row>
    <row r="472" spans="1:14">
      <c r="A472" t="s">
        <v>1170</v>
      </c>
      <c r="B472" t="s">
        <v>1171</v>
      </c>
      <c r="C472" t="s">
        <v>16</v>
      </c>
      <c r="D472" t="s">
        <v>42</v>
      </c>
      <c r="E472" s="2">
        <v>3400</v>
      </c>
      <c r="F472" s="3"/>
      <c r="G472" s="3"/>
      <c r="H472" s="3"/>
      <c r="I472" s="2">
        <v>1</v>
      </c>
      <c r="J472">
        <v>33</v>
      </c>
      <c r="K472">
        <v>30</v>
      </c>
      <c r="L472" t="s">
        <v>18</v>
      </c>
      <c r="M472" t="s">
        <v>20</v>
      </c>
      <c r="N472" t="s">
        <v>19</v>
      </c>
    </row>
    <row r="474" spans="1:14" ht="409.5">
      <c r="A474" s="4" t="s">
        <v>1192</v>
      </c>
    </row>
  </sheetData>
  <autoFilter ref="A1:N474" xr:uid="{00000000-0001-0000-0000-000000000000}">
    <sortState xmlns:xlrd2="http://schemas.microsoft.com/office/spreadsheetml/2017/richdata2" ref="A2:N474">
      <sortCondition ref="D1:D47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C237A-A042-4FD2-A8DE-32F9EF6FA2FA}">
  <dimension ref="A1:AK521"/>
  <sheetViews>
    <sheetView workbookViewId="0">
      <selection activeCell="AG26" sqref="A24:AG26"/>
    </sheetView>
  </sheetViews>
  <sheetFormatPr defaultRowHeight="14.5"/>
  <cols>
    <col min="1" max="5" width="8.7265625" style="44"/>
    <col min="6" max="6" width="34.81640625" style="44" customWidth="1"/>
    <col min="7" max="8" width="8.7265625" style="44"/>
    <col min="9" max="9" width="12.36328125" style="44" customWidth="1"/>
    <col min="10" max="10" width="17.453125" style="44" customWidth="1"/>
    <col min="11" max="13" width="8.7265625" style="44"/>
    <col min="14" max="14" width="18.26953125" style="46" customWidth="1"/>
    <col min="15" max="16" width="8.7265625" style="44"/>
    <col min="17" max="18" width="12.7265625" style="44" customWidth="1"/>
    <col min="19" max="19" width="8.7265625" style="44"/>
    <col min="20" max="20" width="32.7265625" style="44" customWidth="1"/>
    <col min="21" max="21" width="30.7265625" style="44" customWidth="1"/>
    <col min="22" max="22" width="27" style="44" customWidth="1"/>
    <col min="23" max="16384" width="8.7265625" style="44"/>
  </cols>
  <sheetData>
    <row r="1" spans="1:37">
      <c r="A1" s="41" t="s">
        <v>1390</v>
      </c>
      <c r="B1" s="41" t="s">
        <v>1391</v>
      </c>
      <c r="C1" s="41" t="s">
        <v>1392</v>
      </c>
      <c r="D1" s="41" t="s">
        <v>1393</v>
      </c>
      <c r="E1" s="41" t="s">
        <v>1394</v>
      </c>
      <c r="F1" s="41" t="s">
        <v>1395</v>
      </c>
      <c r="G1" s="41" t="s">
        <v>1396</v>
      </c>
      <c r="H1" s="41" t="s">
        <v>1397</v>
      </c>
      <c r="I1" s="41" t="s">
        <v>1398</v>
      </c>
      <c r="J1" s="41" t="s">
        <v>1399</v>
      </c>
      <c r="K1" s="41" t="s">
        <v>1400</v>
      </c>
      <c r="L1" s="41" t="s">
        <v>1401</v>
      </c>
      <c r="M1" s="41" t="s">
        <v>1402</v>
      </c>
      <c r="N1" s="42" t="s">
        <v>1403</v>
      </c>
      <c r="O1" s="41" t="s">
        <v>1404</v>
      </c>
      <c r="P1" s="41" t="s">
        <v>1405</v>
      </c>
      <c r="Q1" s="43" t="s">
        <v>1406</v>
      </c>
      <c r="R1" s="41" t="s">
        <v>1407</v>
      </c>
      <c r="S1" s="41" t="s">
        <v>1408</v>
      </c>
      <c r="T1" s="41" t="s">
        <v>1409</v>
      </c>
      <c r="U1" s="41" t="s">
        <v>1410</v>
      </c>
      <c r="V1" s="41" t="s">
        <v>1411</v>
      </c>
      <c r="W1" s="41" t="s">
        <v>1412</v>
      </c>
      <c r="X1" s="41" t="s">
        <v>1413</v>
      </c>
      <c r="Y1" s="41" t="s">
        <v>1414</v>
      </c>
      <c r="Z1" s="41" t="s">
        <v>1415</v>
      </c>
      <c r="AA1" s="41" t="s">
        <v>1416</v>
      </c>
      <c r="AB1" s="41" t="s">
        <v>1417</v>
      </c>
      <c r="AC1" s="41" t="s">
        <v>1418</v>
      </c>
      <c r="AD1" s="41" t="s">
        <v>1419</v>
      </c>
      <c r="AE1" s="41" t="s">
        <v>1420</v>
      </c>
      <c r="AF1" s="41" t="s">
        <v>1421</v>
      </c>
      <c r="AG1" s="41" t="s">
        <v>1422</v>
      </c>
      <c r="AH1" s="41" t="s">
        <v>1423</v>
      </c>
      <c r="AI1" s="41" t="s">
        <v>1424</v>
      </c>
      <c r="AJ1" s="41" t="s">
        <v>1425</v>
      </c>
      <c r="AK1" s="41" t="s">
        <v>1426</v>
      </c>
    </row>
    <row r="2" spans="1:37">
      <c r="A2" s="44" t="s">
        <v>1427</v>
      </c>
      <c r="B2" s="44" t="s">
        <v>47</v>
      </c>
      <c r="C2" s="44" t="s">
        <v>47</v>
      </c>
      <c r="D2" s="44" t="s">
        <v>1428</v>
      </c>
      <c r="E2" s="44" t="s">
        <v>1207</v>
      </c>
      <c r="F2" s="44" t="s">
        <v>1429</v>
      </c>
      <c r="G2" s="44" t="s">
        <v>1430</v>
      </c>
      <c r="H2" s="44" t="s">
        <v>1431</v>
      </c>
      <c r="I2" s="45">
        <v>43489.407849340278</v>
      </c>
      <c r="J2" s="44" t="s">
        <v>1432</v>
      </c>
      <c r="K2" s="44" t="s">
        <v>1433</v>
      </c>
      <c r="M2" s="44" t="s">
        <v>48</v>
      </c>
      <c r="N2" s="46" t="e">
        <f>VLOOKUP(M2,'Spend Export'!$B:$E,4,FALSE)</f>
        <v>#N/A</v>
      </c>
      <c r="O2" s="44" t="s">
        <v>1429</v>
      </c>
      <c r="P2" s="44" t="s">
        <v>1434</v>
      </c>
      <c r="Q2" s="44" t="s">
        <v>1386</v>
      </c>
      <c r="R2" s="44" t="s">
        <v>19</v>
      </c>
      <c r="S2" s="44" t="s">
        <v>19</v>
      </c>
      <c r="T2" s="44" t="s">
        <v>1435</v>
      </c>
      <c r="U2" s="44" t="s">
        <v>1436</v>
      </c>
      <c r="V2" s="44" t="s">
        <v>1437</v>
      </c>
      <c r="W2" s="44" t="s">
        <v>1438</v>
      </c>
      <c r="X2" s="44" t="s">
        <v>1439</v>
      </c>
      <c r="Y2" s="44" t="s">
        <v>1429</v>
      </c>
      <c r="Z2" s="44" t="s">
        <v>1386</v>
      </c>
      <c r="AA2" s="44" t="s">
        <v>1440</v>
      </c>
      <c r="AI2" s="44" t="s">
        <v>1441</v>
      </c>
      <c r="AK2" s="44" t="s">
        <v>48</v>
      </c>
    </row>
    <row r="3" spans="1:37">
      <c r="A3" s="44" t="s">
        <v>1442</v>
      </c>
      <c r="B3" s="44" t="s">
        <v>58</v>
      </c>
      <c r="C3" s="44" t="s">
        <v>58</v>
      </c>
      <c r="D3" s="44" t="s">
        <v>1443</v>
      </c>
      <c r="E3" s="44" t="s">
        <v>1207</v>
      </c>
      <c r="F3" s="44" t="s">
        <v>1429</v>
      </c>
      <c r="G3" s="44" t="s">
        <v>1430</v>
      </c>
      <c r="H3" s="44" t="s">
        <v>1431</v>
      </c>
      <c r="I3" s="45">
        <v>44509.531016319444</v>
      </c>
      <c r="J3" s="44" t="s">
        <v>1444</v>
      </c>
      <c r="K3" s="44" t="s">
        <v>1445</v>
      </c>
      <c r="M3" s="44" t="s">
        <v>59</v>
      </c>
      <c r="N3" s="46" t="e">
        <f>VLOOKUP(M3,'Spend Export'!$B:$E,4,FALSE)</f>
        <v>#N/A</v>
      </c>
      <c r="O3" s="44" t="s">
        <v>1429</v>
      </c>
      <c r="P3" s="44" t="s">
        <v>1446</v>
      </c>
      <c r="Q3" s="44" t="s">
        <v>1429</v>
      </c>
      <c r="R3" s="44" t="s">
        <v>19</v>
      </c>
      <c r="S3" s="44" t="s">
        <v>19</v>
      </c>
      <c r="T3" s="44" t="s">
        <v>1447</v>
      </c>
      <c r="U3" s="44" t="s">
        <v>1436</v>
      </c>
      <c r="V3" s="44" t="s">
        <v>1448</v>
      </c>
      <c r="W3" s="44" t="s">
        <v>1449</v>
      </c>
      <c r="X3" s="44" t="s">
        <v>1450</v>
      </c>
      <c r="Y3" s="44" t="s">
        <v>1386</v>
      </c>
      <c r="Z3" s="44" t="s">
        <v>1386</v>
      </c>
      <c r="AA3" s="44" t="s">
        <v>1451</v>
      </c>
      <c r="AE3" s="44" t="s">
        <v>1452</v>
      </c>
      <c r="AG3" s="44" t="s">
        <v>1453</v>
      </c>
      <c r="AI3" s="44" t="s">
        <v>1454</v>
      </c>
      <c r="AK3" s="44" t="s">
        <v>59</v>
      </c>
    </row>
    <row r="4" spans="1:37">
      <c r="B4" s="44" t="s">
        <v>32</v>
      </c>
      <c r="C4" s="44" t="s">
        <v>32</v>
      </c>
      <c r="D4" s="44" t="s">
        <v>1428</v>
      </c>
      <c r="E4" s="44" t="s">
        <v>1207</v>
      </c>
      <c r="F4" s="44" t="s">
        <v>1429</v>
      </c>
      <c r="G4" s="44" t="s">
        <v>1430</v>
      </c>
      <c r="I4" s="45">
        <v>42403.682461342592</v>
      </c>
      <c r="K4" s="44" t="s">
        <v>1455</v>
      </c>
      <c r="M4" s="44" t="s">
        <v>33</v>
      </c>
      <c r="N4" s="46" t="e">
        <f>VLOOKUP(M4,'Spend Export'!$B:$E,4,FALSE)</f>
        <v>#N/A</v>
      </c>
      <c r="O4" s="44" t="s">
        <v>1429</v>
      </c>
      <c r="P4" s="44" t="s">
        <v>1456</v>
      </c>
      <c r="Q4" s="44" t="s">
        <v>1386</v>
      </c>
      <c r="R4" s="44" t="s">
        <v>19</v>
      </c>
      <c r="S4" s="44" t="s">
        <v>19</v>
      </c>
      <c r="T4" s="44" t="s">
        <v>1457</v>
      </c>
      <c r="U4" s="44" t="s">
        <v>1458</v>
      </c>
      <c r="V4" s="44" t="s">
        <v>1459</v>
      </c>
      <c r="W4" s="44" t="s">
        <v>1460</v>
      </c>
      <c r="X4" s="44" t="s">
        <v>1461</v>
      </c>
      <c r="Y4" s="44" t="s">
        <v>1429</v>
      </c>
      <c r="Z4" s="44" t="s">
        <v>1386</v>
      </c>
      <c r="AA4" s="44" t="s">
        <v>1462</v>
      </c>
      <c r="AE4" s="44" t="s">
        <v>1452</v>
      </c>
      <c r="AG4" s="44" t="s">
        <v>1463</v>
      </c>
      <c r="AI4" s="44" t="s">
        <v>1464</v>
      </c>
      <c r="AK4" s="44" t="s">
        <v>1465</v>
      </c>
    </row>
    <row r="5" spans="1:37">
      <c r="B5" s="44" t="s">
        <v>54</v>
      </c>
      <c r="C5" s="44" t="s">
        <v>54</v>
      </c>
      <c r="D5" s="44" t="s">
        <v>1466</v>
      </c>
      <c r="E5" s="44" t="s">
        <v>1207</v>
      </c>
      <c r="F5" s="44" t="s">
        <v>1467</v>
      </c>
      <c r="G5" s="44" t="s">
        <v>1430</v>
      </c>
      <c r="I5" s="45">
        <v>42361.523781249998</v>
      </c>
      <c r="K5" s="44" t="s">
        <v>1468</v>
      </c>
      <c r="M5" s="44" t="s">
        <v>55</v>
      </c>
      <c r="N5" s="46" t="e">
        <f>VLOOKUP(M5,'Spend Export'!$B:$E,4,FALSE)</f>
        <v>#N/A</v>
      </c>
      <c r="O5" s="44" t="s">
        <v>1429</v>
      </c>
      <c r="P5" s="44" t="s">
        <v>1469</v>
      </c>
      <c r="Q5" s="44" t="s">
        <v>1429</v>
      </c>
      <c r="R5" s="44" t="s">
        <v>20</v>
      </c>
      <c r="S5" s="44" t="s">
        <v>19</v>
      </c>
      <c r="T5" s="44" t="s">
        <v>1470</v>
      </c>
      <c r="U5" s="44" t="s">
        <v>1458</v>
      </c>
      <c r="V5" s="44" t="s">
        <v>1471</v>
      </c>
      <c r="W5" s="44" t="s">
        <v>1472</v>
      </c>
      <c r="X5" s="44" t="s">
        <v>1461</v>
      </c>
      <c r="Y5" s="44" t="s">
        <v>1386</v>
      </c>
      <c r="Z5" s="44" t="s">
        <v>1429</v>
      </c>
      <c r="AA5" s="44" t="s">
        <v>1473</v>
      </c>
      <c r="AI5" s="44" t="s">
        <v>1474</v>
      </c>
      <c r="AK5" s="44" t="s">
        <v>55</v>
      </c>
    </row>
    <row r="6" spans="1:37">
      <c r="B6" s="44" t="s">
        <v>121</v>
      </c>
      <c r="C6" s="44" t="s">
        <v>121</v>
      </c>
      <c r="D6" s="44" t="s">
        <v>1475</v>
      </c>
      <c r="E6" s="44" t="s">
        <v>1476</v>
      </c>
      <c r="F6" s="44" t="s">
        <v>1429</v>
      </c>
      <c r="G6" s="44" t="s">
        <v>1430</v>
      </c>
      <c r="I6" s="45">
        <v>42790.420473611113</v>
      </c>
      <c r="K6" s="44" t="s">
        <v>1477</v>
      </c>
      <c r="M6" s="44" t="s">
        <v>122</v>
      </c>
      <c r="N6" s="46" t="e">
        <f>VLOOKUP(M6,'Spend Export'!$B:$E,4,FALSE)</f>
        <v>#N/A</v>
      </c>
      <c r="P6" s="44" t="s">
        <v>1429</v>
      </c>
      <c r="Q6" s="44" t="s">
        <v>1386</v>
      </c>
      <c r="R6" s="44" t="s">
        <v>20</v>
      </c>
      <c r="S6" s="44" t="s">
        <v>19</v>
      </c>
      <c r="T6" s="44" t="s">
        <v>1458</v>
      </c>
      <c r="U6" s="44" t="s">
        <v>1458</v>
      </c>
      <c r="V6" s="44" t="s">
        <v>1478</v>
      </c>
      <c r="W6" s="44" t="s">
        <v>1479</v>
      </c>
      <c r="X6" s="44" t="s">
        <v>1439</v>
      </c>
      <c r="Y6" s="44" t="s">
        <v>1429</v>
      </c>
      <c r="Z6" s="44" t="s">
        <v>1386</v>
      </c>
      <c r="AA6" s="44" t="s">
        <v>1480</v>
      </c>
      <c r="AK6" s="44" t="s">
        <v>122</v>
      </c>
    </row>
    <row r="7" spans="1:37">
      <c r="A7" s="44" t="s">
        <v>1481</v>
      </c>
      <c r="B7" s="44" t="s">
        <v>97</v>
      </c>
      <c r="C7" s="44" t="s">
        <v>97</v>
      </c>
      <c r="D7" s="44" t="s">
        <v>1428</v>
      </c>
      <c r="E7" s="44" t="s">
        <v>1207</v>
      </c>
      <c r="F7" s="44" t="s">
        <v>1429</v>
      </c>
      <c r="G7" s="44" t="s">
        <v>1430</v>
      </c>
      <c r="H7" s="44" t="s">
        <v>1431</v>
      </c>
      <c r="I7" s="45">
        <v>38483.505404363423</v>
      </c>
      <c r="K7" s="44" t="s">
        <v>1482</v>
      </c>
      <c r="M7" s="44" t="s">
        <v>98</v>
      </c>
      <c r="N7" s="46">
        <f>VLOOKUP(M7,'Spend Export'!$B:$E,4,FALSE)</f>
        <v>1915873.58</v>
      </c>
      <c r="P7" s="44" t="s">
        <v>1483</v>
      </c>
      <c r="Q7" s="44" t="s">
        <v>1429</v>
      </c>
      <c r="R7" s="44" t="s">
        <v>19</v>
      </c>
      <c r="S7" s="44" t="s">
        <v>19</v>
      </c>
      <c r="T7" s="44" t="s">
        <v>1484</v>
      </c>
      <c r="U7" s="44" t="s">
        <v>1484</v>
      </c>
      <c r="V7" s="44" t="s">
        <v>1485</v>
      </c>
      <c r="W7" s="44" t="s">
        <v>1486</v>
      </c>
      <c r="X7" s="44" t="s">
        <v>1450</v>
      </c>
      <c r="Y7" s="44" t="s">
        <v>1429</v>
      </c>
      <c r="Z7" s="44" t="s">
        <v>1386</v>
      </c>
      <c r="AG7" s="44" t="s">
        <v>1487</v>
      </c>
      <c r="AH7" s="44" t="s">
        <v>1488</v>
      </c>
      <c r="AI7" s="44" t="s">
        <v>1489</v>
      </c>
      <c r="AK7" s="44" t="s">
        <v>98</v>
      </c>
    </row>
    <row r="8" spans="1:37">
      <c r="B8" s="44" t="s">
        <v>724</v>
      </c>
      <c r="C8" s="44" t="s">
        <v>724</v>
      </c>
      <c r="D8" s="44" t="s">
        <v>1490</v>
      </c>
      <c r="E8" s="44" t="s">
        <v>1491</v>
      </c>
      <c r="F8" s="44" t="s">
        <v>1429</v>
      </c>
      <c r="G8" s="44" t="s">
        <v>1430</v>
      </c>
      <c r="I8" s="45">
        <v>44421.618344826391</v>
      </c>
      <c r="J8" s="44" t="s">
        <v>1492</v>
      </c>
      <c r="K8" s="44" t="s">
        <v>1493</v>
      </c>
      <c r="M8" s="44" t="s">
        <v>725</v>
      </c>
      <c r="N8" s="46" t="e">
        <f>VLOOKUP(M8,'Spend Export'!$B:$E,4,FALSE)</f>
        <v>#N/A</v>
      </c>
      <c r="O8" s="44" t="s">
        <v>1429</v>
      </c>
      <c r="P8" s="44" t="s">
        <v>1494</v>
      </c>
      <c r="Q8" s="44" t="s">
        <v>1429</v>
      </c>
      <c r="R8" s="44" t="s">
        <v>19</v>
      </c>
      <c r="S8" s="44" t="s">
        <v>19</v>
      </c>
      <c r="T8" s="44" t="s">
        <v>1458</v>
      </c>
      <c r="U8" s="44" t="s">
        <v>1458</v>
      </c>
      <c r="V8" s="44" t="s">
        <v>1495</v>
      </c>
      <c r="W8" s="44" t="s">
        <v>1496</v>
      </c>
      <c r="X8" s="44" t="s">
        <v>1439</v>
      </c>
      <c r="Y8" s="44" t="s">
        <v>1429</v>
      </c>
      <c r="Z8" s="44" t="s">
        <v>1386</v>
      </c>
      <c r="AI8" s="44" t="s">
        <v>1497</v>
      </c>
      <c r="AK8" s="44" t="s">
        <v>725</v>
      </c>
    </row>
    <row r="9" spans="1:37">
      <c r="B9" s="44" t="s">
        <v>306</v>
      </c>
      <c r="C9" s="44" t="s">
        <v>306</v>
      </c>
      <c r="D9" s="44" t="s">
        <v>1498</v>
      </c>
      <c r="E9" s="44" t="s">
        <v>1499</v>
      </c>
      <c r="F9" s="44" t="s">
        <v>1429</v>
      </c>
      <c r="G9" s="44" t="s">
        <v>1430</v>
      </c>
      <c r="I9" s="45">
        <v>41967.514381562498</v>
      </c>
      <c r="K9" s="44" t="s">
        <v>1500</v>
      </c>
      <c r="M9" s="44" t="s">
        <v>307</v>
      </c>
      <c r="N9" s="46">
        <f>VLOOKUP(M9,'Spend Export'!$B:$E,4,FALSE)</f>
        <v>1524625.7599999998</v>
      </c>
      <c r="P9" s="44" t="s">
        <v>1501</v>
      </c>
      <c r="Q9" s="44" t="s">
        <v>1386</v>
      </c>
      <c r="R9" s="44" t="s">
        <v>20</v>
      </c>
      <c r="S9" s="44" t="s">
        <v>19</v>
      </c>
      <c r="T9" s="44" t="s">
        <v>1502</v>
      </c>
      <c r="U9" s="44" t="s">
        <v>1502</v>
      </c>
      <c r="X9" s="44" t="s">
        <v>1450</v>
      </c>
      <c r="Y9" s="44" t="s">
        <v>1429</v>
      </c>
      <c r="Z9" s="44" t="s">
        <v>1429</v>
      </c>
      <c r="AH9" s="44" t="s">
        <v>1503</v>
      </c>
      <c r="AK9" s="44" t="s">
        <v>307</v>
      </c>
    </row>
    <row r="10" spans="1:37">
      <c r="A10" s="44" t="s">
        <v>1504</v>
      </c>
      <c r="B10" s="44" t="s">
        <v>28</v>
      </c>
      <c r="C10" s="44" t="s">
        <v>28</v>
      </c>
      <c r="D10" s="44" t="s">
        <v>1428</v>
      </c>
      <c r="E10" s="44" t="s">
        <v>1207</v>
      </c>
      <c r="F10" s="44" t="s">
        <v>1505</v>
      </c>
      <c r="G10" s="44" t="s">
        <v>1430</v>
      </c>
      <c r="H10" s="44" t="s">
        <v>1431</v>
      </c>
      <c r="I10" s="45">
        <v>40864.475123923614</v>
      </c>
      <c r="K10" s="44" t="s">
        <v>1506</v>
      </c>
      <c r="L10" s="44" t="s">
        <v>1507</v>
      </c>
      <c r="M10" s="44" t="s">
        <v>29</v>
      </c>
      <c r="N10" s="46">
        <f>VLOOKUP(M10,'Spend Export'!$B:$E,4,FALSE)</f>
        <v>1459890.05</v>
      </c>
      <c r="P10" s="44" t="s">
        <v>1508</v>
      </c>
      <c r="Q10" s="44" t="s">
        <v>1386</v>
      </c>
      <c r="R10" s="44" t="s">
        <v>20</v>
      </c>
      <c r="S10" s="44" t="s">
        <v>19</v>
      </c>
      <c r="T10" s="44" t="s">
        <v>1509</v>
      </c>
      <c r="U10" s="44" t="s">
        <v>1509</v>
      </c>
      <c r="V10" s="44" t="s">
        <v>1510</v>
      </c>
      <c r="W10" s="44" t="s">
        <v>1511</v>
      </c>
      <c r="X10" s="44" t="s">
        <v>1450</v>
      </c>
      <c r="Y10" s="44" t="s">
        <v>1386</v>
      </c>
      <c r="Z10" s="44" t="s">
        <v>1386</v>
      </c>
      <c r="AH10" s="44" t="s">
        <v>1503</v>
      </c>
      <c r="AI10" s="44" t="s">
        <v>1512</v>
      </c>
      <c r="AK10" s="44" t="s">
        <v>29</v>
      </c>
    </row>
    <row r="11" spans="1:37">
      <c r="A11" s="44" t="s">
        <v>1513</v>
      </c>
      <c r="B11" s="44" t="s">
        <v>37</v>
      </c>
      <c r="C11" s="44" t="s">
        <v>37</v>
      </c>
      <c r="D11" s="44" t="s">
        <v>1514</v>
      </c>
      <c r="E11" s="44" t="s">
        <v>1515</v>
      </c>
      <c r="F11" s="44" t="s">
        <v>1429</v>
      </c>
      <c r="G11" s="44" t="s">
        <v>1430</v>
      </c>
      <c r="H11" s="44" t="s">
        <v>1431</v>
      </c>
      <c r="I11" s="45">
        <v>37918.593482372686</v>
      </c>
      <c r="K11" s="44" t="s">
        <v>1516</v>
      </c>
      <c r="L11" s="44" t="s">
        <v>1517</v>
      </c>
      <c r="M11" s="44" t="s">
        <v>38</v>
      </c>
      <c r="N11" s="46">
        <f>VLOOKUP(M11,'Spend Export'!$B:$E,4,FALSE)</f>
        <v>1439973.4699999997</v>
      </c>
      <c r="P11" s="44" t="s">
        <v>1518</v>
      </c>
      <c r="Q11" s="44" t="s">
        <v>1429</v>
      </c>
      <c r="R11" s="44" t="s">
        <v>20</v>
      </c>
      <c r="S11" s="44" t="s">
        <v>19</v>
      </c>
      <c r="T11" s="44" t="s">
        <v>1519</v>
      </c>
      <c r="U11" s="44" t="s">
        <v>1519</v>
      </c>
      <c r="V11" s="44" t="s">
        <v>1520</v>
      </c>
      <c r="W11" s="44" t="s">
        <v>1521</v>
      </c>
      <c r="X11" s="44" t="s">
        <v>1439</v>
      </c>
      <c r="Y11" s="44" t="s">
        <v>1429</v>
      </c>
      <c r="Z11" s="44" t="s">
        <v>1429</v>
      </c>
      <c r="AK11" s="44" t="s">
        <v>38</v>
      </c>
    </row>
    <row r="12" spans="1:37">
      <c r="B12" s="44" t="s">
        <v>49</v>
      </c>
      <c r="C12" s="44" t="s">
        <v>49</v>
      </c>
      <c r="D12" s="44" t="s">
        <v>1522</v>
      </c>
      <c r="E12" s="44" t="s">
        <v>1207</v>
      </c>
      <c r="F12" s="44" t="s">
        <v>1523</v>
      </c>
      <c r="G12" s="44" t="s">
        <v>1430</v>
      </c>
      <c r="I12" s="45">
        <v>41564.310979594906</v>
      </c>
      <c r="K12" s="44" t="s">
        <v>1524</v>
      </c>
      <c r="M12" s="44" t="s">
        <v>50</v>
      </c>
      <c r="N12" s="46" t="e">
        <f>VLOOKUP(M12,'Spend Export'!$B:$E,4,FALSE)</f>
        <v>#N/A</v>
      </c>
      <c r="O12" s="44" t="s">
        <v>1429</v>
      </c>
      <c r="P12" s="44" t="s">
        <v>1525</v>
      </c>
      <c r="Q12" s="44" t="s">
        <v>1429</v>
      </c>
      <c r="R12" s="44" t="s">
        <v>19</v>
      </c>
      <c r="S12" s="44" t="s">
        <v>19</v>
      </c>
      <c r="T12" s="44" t="s">
        <v>1526</v>
      </c>
      <c r="U12" s="44" t="s">
        <v>1458</v>
      </c>
      <c r="V12" s="44" t="s">
        <v>1527</v>
      </c>
      <c r="W12" s="44" t="s">
        <v>1523</v>
      </c>
      <c r="X12" s="44" t="s">
        <v>1439</v>
      </c>
      <c r="Y12" s="44" t="s">
        <v>1429</v>
      </c>
      <c r="Z12" s="44" t="s">
        <v>1386</v>
      </c>
      <c r="AA12" s="44" t="s">
        <v>1528</v>
      </c>
      <c r="AK12" s="44" t="s">
        <v>50</v>
      </c>
    </row>
    <row r="13" spans="1:37">
      <c r="B13" s="44" t="s">
        <v>178</v>
      </c>
      <c r="C13" s="44" t="s">
        <v>178</v>
      </c>
      <c r="D13" s="44" t="s">
        <v>1466</v>
      </c>
      <c r="E13" s="44" t="s">
        <v>1207</v>
      </c>
      <c r="F13" s="44" t="s">
        <v>1429</v>
      </c>
      <c r="G13" s="44" t="s">
        <v>1430</v>
      </c>
      <c r="I13" s="45">
        <v>39399.682569675926</v>
      </c>
      <c r="K13" s="44" t="s">
        <v>1529</v>
      </c>
      <c r="M13" s="44" t="s">
        <v>179</v>
      </c>
      <c r="N13" s="46" t="e">
        <f>VLOOKUP(M13,'Spend Export'!$B:$E,4,FALSE)</f>
        <v>#N/A</v>
      </c>
      <c r="O13" s="44" t="s">
        <v>1429</v>
      </c>
      <c r="P13" s="44" t="s">
        <v>1530</v>
      </c>
      <c r="Q13" s="44" t="s">
        <v>1429</v>
      </c>
      <c r="R13" s="44" t="s">
        <v>20</v>
      </c>
      <c r="S13" s="44" t="s">
        <v>19</v>
      </c>
      <c r="T13" s="44" t="s">
        <v>1458</v>
      </c>
      <c r="U13" s="44" t="s">
        <v>1458</v>
      </c>
      <c r="V13" s="44" t="s">
        <v>1531</v>
      </c>
      <c r="W13" s="44" t="s">
        <v>1532</v>
      </c>
      <c r="X13" s="44" t="s">
        <v>1439</v>
      </c>
      <c r="Y13" s="44" t="s">
        <v>1386</v>
      </c>
      <c r="Z13" s="44" t="s">
        <v>1386</v>
      </c>
      <c r="AA13" s="44" t="s">
        <v>1533</v>
      </c>
      <c r="AK13" s="44" t="s">
        <v>179</v>
      </c>
    </row>
    <row r="14" spans="1:37">
      <c r="B14" s="44" t="s">
        <v>35</v>
      </c>
      <c r="C14" s="44" t="s">
        <v>35</v>
      </c>
      <c r="D14" s="44" t="s">
        <v>1466</v>
      </c>
      <c r="E14" s="44" t="s">
        <v>1207</v>
      </c>
      <c r="F14" s="44" t="s">
        <v>1429</v>
      </c>
      <c r="G14" s="44" t="s">
        <v>1430</v>
      </c>
      <c r="I14" s="45">
        <v>37918.569339895832</v>
      </c>
      <c r="K14" s="44" t="s">
        <v>1534</v>
      </c>
      <c r="L14" s="44" t="s">
        <v>1535</v>
      </c>
      <c r="M14" s="44" t="s">
        <v>36</v>
      </c>
      <c r="N14" s="46" t="e">
        <f>VLOOKUP(M14,'Spend Export'!$B:$E,4,FALSE)</f>
        <v>#N/A</v>
      </c>
      <c r="O14" s="44" t="s">
        <v>1429</v>
      </c>
      <c r="P14" s="44" t="s">
        <v>1536</v>
      </c>
      <c r="Q14" s="44" t="s">
        <v>1386</v>
      </c>
      <c r="R14" s="44" t="s">
        <v>19</v>
      </c>
      <c r="S14" s="44" t="s">
        <v>19</v>
      </c>
      <c r="T14" s="44" t="s">
        <v>1537</v>
      </c>
      <c r="U14" s="44" t="s">
        <v>1436</v>
      </c>
      <c r="V14" s="44" t="s">
        <v>1538</v>
      </c>
      <c r="W14" s="44" t="s">
        <v>1539</v>
      </c>
      <c r="X14" s="44" t="s">
        <v>1461</v>
      </c>
      <c r="Y14" s="44" t="s">
        <v>1429</v>
      </c>
      <c r="Z14" s="44" t="s">
        <v>1386</v>
      </c>
      <c r="AA14" s="44" t="s">
        <v>1528</v>
      </c>
      <c r="AI14" s="44" t="s">
        <v>1540</v>
      </c>
      <c r="AK14" s="44" t="s">
        <v>36</v>
      </c>
    </row>
    <row r="15" spans="1:37">
      <c r="B15" s="44" t="s">
        <v>211</v>
      </c>
      <c r="C15" s="44" t="s">
        <v>211</v>
      </c>
      <c r="D15" s="44" t="s">
        <v>1428</v>
      </c>
      <c r="E15" s="44" t="s">
        <v>1207</v>
      </c>
      <c r="F15" s="44" t="s">
        <v>1429</v>
      </c>
      <c r="G15" s="44" t="s">
        <v>1430</v>
      </c>
      <c r="I15" s="45">
        <v>38092.590925578705</v>
      </c>
      <c r="K15" s="44" t="s">
        <v>1541</v>
      </c>
      <c r="M15" s="44" t="s">
        <v>212</v>
      </c>
      <c r="N15" s="46">
        <f>VLOOKUP(M15,'Spend Export'!$B:$E,4,FALSE)</f>
        <v>1359869.0100000002</v>
      </c>
      <c r="P15" s="44" t="s">
        <v>1542</v>
      </c>
      <c r="Q15" s="44" t="s">
        <v>1429</v>
      </c>
      <c r="R15" s="44" t="s">
        <v>20</v>
      </c>
      <c r="S15" s="44" t="s">
        <v>19</v>
      </c>
      <c r="T15" s="44" t="s">
        <v>1484</v>
      </c>
      <c r="U15" s="44" t="s">
        <v>1484</v>
      </c>
      <c r="V15" s="44" t="s">
        <v>1543</v>
      </c>
      <c r="W15" s="44" t="s">
        <v>1544</v>
      </c>
      <c r="X15" s="44" t="s">
        <v>1439</v>
      </c>
      <c r="Y15" s="44" t="s">
        <v>1386</v>
      </c>
      <c r="Z15" s="44" t="s">
        <v>1429</v>
      </c>
      <c r="AA15" s="44" t="s">
        <v>1545</v>
      </c>
      <c r="AK15" s="44" t="s">
        <v>212</v>
      </c>
    </row>
    <row r="16" spans="1:37">
      <c r="B16" s="44" t="s">
        <v>68</v>
      </c>
      <c r="C16" s="44" t="s">
        <v>68</v>
      </c>
      <c r="D16" s="44" t="s">
        <v>1428</v>
      </c>
      <c r="E16" s="44" t="s">
        <v>1207</v>
      </c>
      <c r="F16" s="44" t="s">
        <v>1429</v>
      </c>
      <c r="G16" s="44" t="s">
        <v>1430</v>
      </c>
      <c r="I16" s="45">
        <v>40304.364629085649</v>
      </c>
      <c r="K16" s="44" t="s">
        <v>1546</v>
      </c>
      <c r="M16" s="44" t="s">
        <v>69</v>
      </c>
      <c r="N16" s="46" t="e">
        <f>VLOOKUP(M16,'Spend Export'!$B:$E,4,FALSE)</f>
        <v>#N/A</v>
      </c>
      <c r="O16" s="44" t="s">
        <v>1429</v>
      </c>
      <c r="P16" s="44" t="s">
        <v>1547</v>
      </c>
      <c r="Q16" s="44" t="s">
        <v>1429</v>
      </c>
      <c r="R16" s="44" t="s">
        <v>19</v>
      </c>
      <c r="S16" s="44" t="s">
        <v>19</v>
      </c>
      <c r="T16" s="44" t="s">
        <v>1548</v>
      </c>
      <c r="U16" s="44" t="s">
        <v>1548</v>
      </c>
      <c r="V16" s="44" t="s">
        <v>1549</v>
      </c>
      <c r="W16" s="44" t="s">
        <v>1550</v>
      </c>
      <c r="X16" s="44" t="s">
        <v>1461</v>
      </c>
      <c r="Y16" s="44" t="s">
        <v>1386</v>
      </c>
      <c r="Z16" s="44" t="s">
        <v>1386</v>
      </c>
      <c r="AA16" s="44" t="s">
        <v>1551</v>
      </c>
      <c r="AI16" s="44" t="s">
        <v>1552</v>
      </c>
      <c r="AK16" s="44" t="s">
        <v>69</v>
      </c>
    </row>
    <row r="17" spans="1:37">
      <c r="B17" s="44" t="s">
        <v>1553</v>
      </c>
      <c r="C17" s="44" t="s">
        <v>1553</v>
      </c>
      <c r="D17" s="44" t="s">
        <v>1428</v>
      </c>
      <c r="E17" s="44" t="s">
        <v>1207</v>
      </c>
      <c r="F17" s="44" t="s">
        <v>1429</v>
      </c>
      <c r="G17" s="44" t="s">
        <v>1430</v>
      </c>
      <c r="I17" s="45">
        <v>37928.567302662035</v>
      </c>
      <c r="K17" s="44" t="s">
        <v>1554</v>
      </c>
      <c r="M17" s="44" t="s">
        <v>430</v>
      </c>
      <c r="N17" s="46">
        <f>VLOOKUP(M17,'Spend Export'!$B:$E,4,FALSE)</f>
        <v>1272191.49</v>
      </c>
      <c r="P17" s="44" t="s">
        <v>1555</v>
      </c>
      <c r="Q17" s="44" t="s">
        <v>1429</v>
      </c>
      <c r="R17" s="44" t="s">
        <v>20</v>
      </c>
      <c r="S17" s="44" t="s">
        <v>19</v>
      </c>
      <c r="T17" s="44" t="s">
        <v>1556</v>
      </c>
      <c r="U17" s="44" t="s">
        <v>1556</v>
      </c>
      <c r="V17" s="44" t="s">
        <v>1557</v>
      </c>
      <c r="W17" s="44" t="s">
        <v>1558</v>
      </c>
      <c r="X17" s="44" t="s">
        <v>1450</v>
      </c>
      <c r="Y17" s="44" t="s">
        <v>1429</v>
      </c>
      <c r="Z17" s="44" t="s">
        <v>1386</v>
      </c>
      <c r="AH17" s="44" t="s">
        <v>1559</v>
      </c>
      <c r="AI17" s="44" t="s">
        <v>1560</v>
      </c>
      <c r="AK17" s="44" t="s">
        <v>430</v>
      </c>
    </row>
    <row r="18" spans="1:37">
      <c r="A18" s="44" t="s">
        <v>1561</v>
      </c>
      <c r="B18" s="44" t="s">
        <v>43</v>
      </c>
      <c r="C18" s="44" t="s">
        <v>43</v>
      </c>
      <c r="D18" s="44" t="s">
        <v>1562</v>
      </c>
      <c r="E18" s="44" t="s">
        <v>1207</v>
      </c>
      <c r="F18" s="44" t="s">
        <v>1563</v>
      </c>
      <c r="G18" s="44" t="s">
        <v>1430</v>
      </c>
      <c r="H18" s="44" t="s">
        <v>1431</v>
      </c>
      <c r="I18" s="45">
        <v>39948.548386956019</v>
      </c>
      <c r="K18" s="44" t="s">
        <v>1564</v>
      </c>
      <c r="L18" s="44" t="s">
        <v>1565</v>
      </c>
      <c r="M18" s="44" t="s">
        <v>44</v>
      </c>
      <c r="N18" s="46">
        <f>VLOOKUP(M18,'Spend Export'!$B:$E,4,FALSE)</f>
        <v>1271566.2300000011</v>
      </c>
      <c r="O18" s="44" t="s">
        <v>1429</v>
      </c>
      <c r="P18" s="44" t="s">
        <v>1566</v>
      </c>
      <c r="Q18" s="44" t="s">
        <v>1386</v>
      </c>
      <c r="R18" s="44" t="s">
        <v>19</v>
      </c>
      <c r="S18" s="44" t="s">
        <v>19</v>
      </c>
      <c r="T18" s="44" t="s">
        <v>1509</v>
      </c>
      <c r="U18" s="44" t="s">
        <v>1509</v>
      </c>
      <c r="V18" s="44" t="s">
        <v>1567</v>
      </c>
      <c r="W18" s="44" t="s">
        <v>1568</v>
      </c>
      <c r="X18" s="44" t="s">
        <v>1450</v>
      </c>
      <c r="Y18" s="44" t="s">
        <v>1386</v>
      </c>
      <c r="Z18" s="44" t="s">
        <v>1386</v>
      </c>
      <c r="AE18" s="44" t="s">
        <v>1569</v>
      </c>
      <c r="AH18" s="44" t="s">
        <v>1503</v>
      </c>
      <c r="AI18" s="44" t="s">
        <v>1570</v>
      </c>
      <c r="AK18" s="44" t="s">
        <v>44</v>
      </c>
    </row>
    <row r="19" spans="1:37">
      <c r="B19" s="44" t="s">
        <v>582</v>
      </c>
      <c r="C19" s="44" t="s">
        <v>582</v>
      </c>
      <c r="D19" s="44" t="s">
        <v>1571</v>
      </c>
      <c r="E19" s="44" t="s">
        <v>1572</v>
      </c>
      <c r="F19" s="44" t="s">
        <v>1429</v>
      </c>
      <c r="G19" s="44" t="s">
        <v>1430</v>
      </c>
      <c r="I19" s="45">
        <v>43703.58067635417</v>
      </c>
      <c r="J19" s="44" t="s">
        <v>1573</v>
      </c>
      <c r="K19" s="44" t="s">
        <v>1574</v>
      </c>
      <c r="M19" s="44" t="s">
        <v>583</v>
      </c>
      <c r="N19" s="46" t="e">
        <f>VLOOKUP(M19,'Spend Export'!$B:$E,4,FALSE)</f>
        <v>#N/A</v>
      </c>
      <c r="P19" s="44" t="s">
        <v>1429</v>
      </c>
      <c r="Q19" s="44" t="s">
        <v>1386</v>
      </c>
      <c r="R19" s="44" t="s">
        <v>20</v>
      </c>
      <c r="S19" s="44" t="s">
        <v>19</v>
      </c>
      <c r="T19" s="44" t="s">
        <v>1575</v>
      </c>
      <c r="U19" s="44" t="s">
        <v>1575</v>
      </c>
      <c r="V19" s="44" t="s">
        <v>1576</v>
      </c>
      <c r="W19" s="44" t="s">
        <v>1577</v>
      </c>
      <c r="X19" s="44" t="s">
        <v>1439</v>
      </c>
      <c r="Y19" s="44" t="s">
        <v>1429</v>
      </c>
      <c r="Z19" s="44" t="s">
        <v>1386</v>
      </c>
      <c r="AA19" s="44" t="s">
        <v>1462</v>
      </c>
      <c r="AI19" s="44" t="s">
        <v>1578</v>
      </c>
      <c r="AK19" s="44" t="s">
        <v>583</v>
      </c>
    </row>
    <row r="20" spans="1:37">
      <c r="B20" s="44" t="s">
        <v>21</v>
      </c>
      <c r="C20" s="44" t="s">
        <v>21</v>
      </c>
      <c r="D20" s="44" t="s">
        <v>1428</v>
      </c>
      <c r="E20" s="44" t="s">
        <v>1207</v>
      </c>
      <c r="F20" s="44" t="s">
        <v>1429</v>
      </c>
      <c r="G20" s="44" t="s">
        <v>1430</v>
      </c>
      <c r="I20" s="45">
        <v>41787.614247488425</v>
      </c>
      <c r="K20" s="44" t="s">
        <v>1579</v>
      </c>
      <c r="M20" s="44" t="s">
        <v>22</v>
      </c>
      <c r="N20" s="46">
        <f>VLOOKUP(M20,'Spend Export'!$B:$E,4,FALSE)</f>
        <v>1139926.0900000005</v>
      </c>
      <c r="O20" s="44" t="s">
        <v>1429</v>
      </c>
      <c r="P20" s="44" t="s">
        <v>1580</v>
      </c>
      <c r="Q20" s="44" t="s">
        <v>1429</v>
      </c>
      <c r="R20" s="44" t="s">
        <v>20</v>
      </c>
      <c r="S20" s="44" t="s">
        <v>19</v>
      </c>
      <c r="T20" s="44" t="s">
        <v>1581</v>
      </c>
      <c r="U20" s="44" t="s">
        <v>1484</v>
      </c>
      <c r="V20" s="44" t="s">
        <v>1582</v>
      </c>
      <c r="W20" s="44" t="s">
        <v>1583</v>
      </c>
      <c r="X20" s="44" t="s">
        <v>1584</v>
      </c>
      <c r="Y20" s="44" t="s">
        <v>1429</v>
      </c>
      <c r="Z20" s="44" t="s">
        <v>1429</v>
      </c>
      <c r="AG20" s="44" t="s">
        <v>1585</v>
      </c>
      <c r="AI20" s="44" t="s">
        <v>1586</v>
      </c>
      <c r="AK20" s="44" t="s">
        <v>22</v>
      </c>
    </row>
    <row r="21" spans="1:37">
      <c r="A21" s="44" t="s">
        <v>1587</v>
      </c>
      <c r="B21" s="44" t="s">
        <v>151</v>
      </c>
      <c r="C21" s="44" t="s">
        <v>151</v>
      </c>
      <c r="D21" s="44" t="s">
        <v>1428</v>
      </c>
      <c r="E21" s="44" t="s">
        <v>1207</v>
      </c>
      <c r="F21" s="44" t="s">
        <v>1588</v>
      </c>
      <c r="G21" s="44" t="s">
        <v>1430</v>
      </c>
      <c r="H21" s="44" t="s">
        <v>1431</v>
      </c>
      <c r="I21" s="45">
        <v>37928.614809988423</v>
      </c>
      <c r="K21" s="44" t="s">
        <v>1589</v>
      </c>
      <c r="L21" s="44" t="s">
        <v>1590</v>
      </c>
      <c r="M21" s="44" t="s">
        <v>152</v>
      </c>
      <c r="N21" s="46">
        <f>VLOOKUP(M21,'Spend Export'!$B:$E,4,FALSE)</f>
        <v>1114989.2300000002</v>
      </c>
      <c r="O21" s="44" t="s">
        <v>1429</v>
      </c>
      <c r="P21" s="44" t="s">
        <v>1591</v>
      </c>
      <c r="Q21" s="44" t="s">
        <v>1429</v>
      </c>
      <c r="R21" s="44" t="s">
        <v>20</v>
      </c>
      <c r="S21" s="44" t="s">
        <v>19</v>
      </c>
      <c r="T21" s="44" t="s">
        <v>1484</v>
      </c>
      <c r="U21" s="44" t="s">
        <v>1484</v>
      </c>
      <c r="V21" s="44" t="s">
        <v>1592</v>
      </c>
      <c r="W21" s="44" t="s">
        <v>1593</v>
      </c>
      <c r="X21" s="44" t="s">
        <v>1594</v>
      </c>
      <c r="Y21" s="44" t="s">
        <v>1429</v>
      </c>
      <c r="Z21" s="44" t="s">
        <v>1386</v>
      </c>
      <c r="AA21" s="44" t="s">
        <v>1488</v>
      </c>
      <c r="AK21" s="44" t="s">
        <v>152</v>
      </c>
    </row>
    <row r="22" spans="1:37">
      <c r="B22" s="44" t="s">
        <v>90</v>
      </c>
      <c r="C22" s="44" t="s">
        <v>90</v>
      </c>
      <c r="D22" s="44" t="s">
        <v>1428</v>
      </c>
      <c r="E22" s="44" t="s">
        <v>1207</v>
      </c>
      <c r="F22" s="44" t="s">
        <v>1595</v>
      </c>
      <c r="G22" s="44" t="s">
        <v>1430</v>
      </c>
      <c r="I22" s="45">
        <v>42135.424585219909</v>
      </c>
      <c r="K22" s="44" t="s">
        <v>1596</v>
      </c>
      <c r="M22" s="44" t="s">
        <v>91</v>
      </c>
      <c r="N22" s="46">
        <f>VLOOKUP(M22,'Spend Export'!$B:$E,4,FALSE)</f>
        <v>984321</v>
      </c>
      <c r="O22" s="44" t="s">
        <v>1429</v>
      </c>
      <c r="P22" s="44" t="s">
        <v>1597</v>
      </c>
      <c r="Q22" s="44" t="s">
        <v>1429</v>
      </c>
      <c r="R22" s="44" t="s">
        <v>20</v>
      </c>
      <c r="S22" s="44" t="s">
        <v>19</v>
      </c>
      <c r="T22" s="44" t="s">
        <v>1598</v>
      </c>
      <c r="U22" s="44" t="s">
        <v>1484</v>
      </c>
      <c r="V22" s="44" t="s">
        <v>1599</v>
      </c>
      <c r="W22" s="44" t="s">
        <v>1600</v>
      </c>
      <c r="X22" s="44" t="s">
        <v>1439</v>
      </c>
      <c r="Y22" s="44" t="s">
        <v>1429</v>
      </c>
      <c r="Z22" s="44" t="s">
        <v>1386</v>
      </c>
      <c r="AE22" s="44" t="s">
        <v>1452</v>
      </c>
      <c r="AI22" s="44" t="s">
        <v>1601</v>
      </c>
      <c r="AK22" s="44" t="s">
        <v>1602</v>
      </c>
    </row>
    <row r="23" spans="1:37">
      <c r="A23" s="44" t="s">
        <v>1504</v>
      </c>
      <c r="B23" s="44" t="s">
        <v>1603</v>
      </c>
      <c r="C23" s="44" t="s">
        <v>1603</v>
      </c>
      <c r="D23" s="44" t="s">
        <v>1428</v>
      </c>
      <c r="E23" s="44" t="s">
        <v>1207</v>
      </c>
      <c r="F23" s="44" t="s">
        <v>1429</v>
      </c>
      <c r="G23" s="44" t="s">
        <v>1430</v>
      </c>
      <c r="H23" s="44" t="s">
        <v>1431</v>
      </c>
      <c r="I23" s="45">
        <v>43178.445448692131</v>
      </c>
      <c r="J23" s="44" t="s">
        <v>1604</v>
      </c>
      <c r="K23" s="44" t="s">
        <v>1605</v>
      </c>
      <c r="M23" s="44" t="s">
        <v>80</v>
      </c>
      <c r="N23" s="46">
        <f>VLOOKUP(M23,'Spend Export'!$B:$E,4,FALSE)</f>
        <v>949359.12999999977</v>
      </c>
      <c r="O23" s="44" t="s">
        <v>1429</v>
      </c>
      <c r="P23" s="44" t="s">
        <v>1606</v>
      </c>
      <c r="Q23" s="44" t="s">
        <v>1386</v>
      </c>
      <c r="R23" s="44" t="s">
        <v>19</v>
      </c>
      <c r="S23" s="44" t="s">
        <v>19</v>
      </c>
      <c r="T23" s="44" t="s">
        <v>1607</v>
      </c>
      <c r="U23" s="44" t="s">
        <v>1509</v>
      </c>
      <c r="V23" s="44" t="s">
        <v>1510</v>
      </c>
      <c r="W23" s="44" t="s">
        <v>1511</v>
      </c>
      <c r="X23" s="44" t="s">
        <v>1450</v>
      </c>
      <c r="Y23" s="44" t="s">
        <v>1386</v>
      </c>
      <c r="Z23" s="44" t="s">
        <v>1386</v>
      </c>
      <c r="AA23" s="44" t="s">
        <v>1503</v>
      </c>
      <c r="AI23" s="44" t="s">
        <v>1608</v>
      </c>
      <c r="AK23" s="44" t="s">
        <v>80</v>
      </c>
    </row>
    <row r="24" spans="1:37">
      <c r="B24" s="44" t="s">
        <v>70</v>
      </c>
      <c r="C24" s="44" t="s">
        <v>70</v>
      </c>
      <c r="D24" s="44" t="s">
        <v>1522</v>
      </c>
      <c r="E24" s="44" t="s">
        <v>1207</v>
      </c>
      <c r="F24" s="44" t="s">
        <v>1609</v>
      </c>
      <c r="G24" s="44" t="s">
        <v>1430</v>
      </c>
      <c r="I24" s="45">
        <v>43780.542537928239</v>
      </c>
      <c r="J24" s="44" t="s">
        <v>1610</v>
      </c>
      <c r="K24" s="44" t="s">
        <v>1611</v>
      </c>
      <c r="L24" s="44" t="s">
        <v>1612</v>
      </c>
      <c r="M24" s="44" t="s">
        <v>71</v>
      </c>
      <c r="N24" s="46">
        <f>VLOOKUP(M24,'Spend Export'!$B:$E,4,FALSE)</f>
        <v>786589.1800000004</v>
      </c>
      <c r="P24" s="44" t="s">
        <v>1613</v>
      </c>
      <c r="Q24" s="44" t="s">
        <v>1429</v>
      </c>
      <c r="R24" s="44" t="s">
        <v>20</v>
      </c>
      <c r="S24" s="44" t="s">
        <v>19</v>
      </c>
      <c r="T24" s="44" t="s">
        <v>1509</v>
      </c>
      <c r="U24" s="44" t="s">
        <v>1509</v>
      </c>
      <c r="V24" s="44" t="s">
        <v>1614</v>
      </c>
      <c r="W24" s="44" t="s">
        <v>1615</v>
      </c>
      <c r="X24" s="44" t="s">
        <v>1450</v>
      </c>
      <c r="Y24" s="44" t="s">
        <v>1429</v>
      </c>
      <c r="Z24" s="44" t="s">
        <v>1386</v>
      </c>
      <c r="AH24" s="44" t="s">
        <v>1503</v>
      </c>
      <c r="AI24" s="44" t="s">
        <v>1608</v>
      </c>
      <c r="AK24" s="44" t="s">
        <v>71</v>
      </c>
    </row>
    <row r="25" spans="1:37">
      <c r="B25" s="44" t="s">
        <v>92</v>
      </c>
      <c r="C25" s="44" t="s">
        <v>92</v>
      </c>
      <c r="D25" s="44" t="s">
        <v>1616</v>
      </c>
      <c r="E25" s="44" t="s">
        <v>1617</v>
      </c>
      <c r="F25" s="44" t="s">
        <v>1429</v>
      </c>
      <c r="G25" s="44" t="s">
        <v>1430</v>
      </c>
      <c r="I25" s="45">
        <v>44589.567760266204</v>
      </c>
      <c r="J25" s="44" t="s">
        <v>1618</v>
      </c>
      <c r="K25" s="44" t="s">
        <v>1619</v>
      </c>
      <c r="M25" s="44" t="s">
        <v>93</v>
      </c>
      <c r="N25" s="46" t="e">
        <f>VLOOKUP(M25,'Spend Export'!$B:$E,4,FALSE)</f>
        <v>#N/A</v>
      </c>
      <c r="O25" s="44" t="s">
        <v>1429</v>
      </c>
      <c r="P25" s="44" t="s">
        <v>1620</v>
      </c>
      <c r="Q25" s="44" t="s">
        <v>1429</v>
      </c>
      <c r="R25" s="44" t="s">
        <v>20</v>
      </c>
      <c r="S25" s="44" t="s">
        <v>19</v>
      </c>
      <c r="T25" s="44" t="s">
        <v>1470</v>
      </c>
      <c r="U25" s="44" t="s">
        <v>1458</v>
      </c>
      <c r="V25" s="44" t="s">
        <v>1621</v>
      </c>
      <c r="W25" s="44" t="s">
        <v>1622</v>
      </c>
      <c r="X25" s="44" t="s">
        <v>1461</v>
      </c>
      <c r="Y25" s="44" t="s">
        <v>1429</v>
      </c>
      <c r="Z25" s="44" t="s">
        <v>1429</v>
      </c>
      <c r="AI25" s="44" t="s">
        <v>1623</v>
      </c>
      <c r="AK25" s="44" t="s">
        <v>93</v>
      </c>
    </row>
    <row r="26" spans="1:37">
      <c r="B26" s="44" t="s">
        <v>25</v>
      </c>
      <c r="C26" s="44" t="s">
        <v>25</v>
      </c>
      <c r="D26" s="44" t="s">
        <v>1428</v>
      </c>
      <c r="E26" s="44" t="s">
        <v>1207</v>
      </c>
      <c r="F26" s="44" t="s">
        <v>1429</v>
      </c>
      <c r="G26" s="44" t="s">
        <v>1430</v>
      </c>
      <c r="I26" s="45">
        <v>42033.593123379629</v>
      </c>
      <c r="K26" s="44" t="s">
        <v>1624</v>
      </c>
      <c r="M26" s="44" t="s">
        <v>26</v>
      </c>
      <c r="N26" s="46">
        <f>VLOOKUP(M26,'Spend Export'!$B:$E,4,FALSE)</f>
        <v>745709.0700000003</v>
      </c>
      <c r="P26" s="44" t="s">
        <v>1625</v>
      </c>
      <c r="Q26" s="44" t="s">
        <v>1429</v>
      </c>
      <c r="R26" s="44" t="s">
        <v>20</v>
      </c>
      <c r="S26" s="44" t="s">
        <v>19</v>
      </c>
      <c r="T26" s="44" t="s">
        <v>1519</v>
      </c>
      <c r="U26" s="44" t="s">
        <v>1519</v>
      </c>
      <c r="V26" s="44" t="s">
        <v>1626</v>
      </c>
      <c r="W26" s="44" t="s">
        <v>1627</v>
      </c>
      <c r="X26" s="44" t="s">
        <v>1450</v>
      </c>
      <c r="Y26" s="44" t="s">
        <v>1429</v>
      </c>
      <c r="Z26" s="44" t="s">
        <v>1429</v>
      </c>
      <c r="AI26" s="44" t="s">
        <v>1628</v>
      </c>
      <c r="AK26" s="44" t="s">
        <v>26</v>
      </c>
    </row>
    <row r="27" spans="1:37">
      <c r="B27" s="44" t="s">
        <v>1629</v>
      </c>
      <c r="C27" s="44" t="s">
        <v>1629</v>
      </c>
      <c r="D27" s="44" t="s">
        <v>1428</v>
      </c>
      <c r="E27" s="44" t="s">
        <v>1207</v>
      </c>
      <c r="F27" s="44" t="s">
        <v>1429</v>
      </c>
      <c r="G27" s="44" t="s">
        <v>1430</v>
      </c>
      <c r="I27" s="45">
        <v>37918.711211076392</v>
      </c>
      <c r="K27" s="44" t="s">
        <v>1630</v>
      </c>
      <c r="L27" s="44" t="s">
        <v>1631</v>
      </c>
      <c r="M27" s="44" t="s">
        <v>57</v>
      </c>
      <c r="N27" s="46">
        <f>VLOOKUP(M27,'Spend Export'!$B:$E,4,FALSE)</f>
        <v>738534.05000000028</v>
      </c>
      <c r="P27" s="44" t="s">
        <v>1632</v>
      </c>
      <c r="Q27" s="44" t="s">
        <v>1386</v>
      </c>
      <c r="R27" s="44" t="s">
        <v>19</v>
      </c>
      <c r="S27" s="44" t="s">
        <v>19</v>
      </c>
      <c r="T27" s="44" t="s">
        <v>1509</v>
      </c>
      <c r="U27" s="44" t="s">
        <v>1509</v>
      </c>
      <c r="V27" s="44" t="s">
        <v>1633</v>
      </c>
      <c r="W27" s="44" t="s">
        <v>1634</v>
      </c>
      <c r="X27" s="44" t="s">
        <v>1450</v>
      </c>
      <c r="Y27" s="44" t="s">
        <v>1429</v>
      </c>
      <c r="Z27" s="44" t="s">
        <v>1386</v>
      </c>
      <c r="AA27" s="44" t="s">
        <v>1503</v>
      </c>
      <c r="AI27" s="44" t="s">
        <v>1608</v>
      </c>
      <c r="AK27" s="44" t="s">
        <v>57</v>
      </c>
    </row>
    <row r="28" spans="1:37">
      <c r="A28" s="44" t="s">
        <v>1635</v>
      </c>
      <c r="B28" s="44" t="s">
        <v>83</v>
      </c>
      <c r="C28" s="44" t="s">
        <v>83</v>
      </c>
      <c r="D28" s="44" t="s">
        <v>1428</v>
      </c>
      <c r="E28" s="44" t="s">
        <v>1207</v>
      </c>
      <c r="F28" s="44" t="s">
        <v>1636</v>
      </c>
      <c r="G28" s="44" t="s">
        <v>1430</v>
      </c>
      <c r="H28" s="44" t="s">
        <v>1431</v>
      </c>
      <c r="I28" s="45">
        <v>37918.683377083333</v>
      </c>
      <c r="K28" s="44" t="s">
        <v>1637</v>
      </c>
      <c r="M28" s="44" t="s">
        <v>84</v>
      </c>
      <c r="N28" s="46">
        <f>VLOOKUP(M28,'Spend Export'!$B:$E,4,FALSE)</f>
        <v>711573.75999999989</v>
      </c>
      <c r="O28" s="44" t="s">
        <v>1429</v>
      </c>
      <c r="P28" s="44" t="s">
        <v>1638</v>
      </c>
      <c r="Q28" s="44" t="s">
        <v>1429</v>
      </c>
      <c r="R28" s="44" t="s">
        <v>19</v>
      </c>
      <c r="S28" s="44" t="s">
        <v>19</v>
      </c>
      <c r="T28" s="44" t="s">
        <v>1639</v>
      </c>
      <c r="U28" s="44" t="s">
        <v>1484</v>
      </c>
      <c r="V28" s="44" t="s">
        <v>1640</v>
      </c>
      <c r="W28" s="44" t="s">
        <v>1641</v>
      </c>
      <c r="X28" s="44" t="s">
        <v>1461</v>
      </c>
      <c r="Y28" s="44" t="s">
        <v>1429</v>
      </c>
      <c r="Z28" s="44" t="s">
        <v>1386</v>
      </c>
      <c r="AA28" s="44" t="s">
        <v>1642</v>
      </c>
      <c r="AG28" s="44" t="s">
        <v>1643</v>
      </c>
      <c r="AH28" s="44" t="s">
        <v>1644</v>
      </c>
      <c r="AI28" s="44" t="s">
        <v>1645</v>
      </c>
      <c r="AK28" s="44" t="s">
        <v>84</v>
      </c>
    </row>
    <row r="29" spans="1:37">
      <c r="B29" s="44" t="s">
        <v>162</v>
      </c>
      <c r="C29" s="44" t="s">
        <v>162</v>
      </c>
      <c r="D29" s="44" t="s">
        <v>1562</v>
      </c>
      <c r="E29" s="44" t="s">
        <v>1207</v>
      </c>
      <c r="F29" s="44" t="s">
        <v>1429</v>
      </c>
      <c r="G29" s="44" t="s">
        <v>1430</v>
      </c>
      <c r="I29" s="45">
        <v>42893.593285266201</v>
      </c>
      <c r="K29" s="44" t="s">
        <v>1646</v>
      </c>
      <c r="M29" s="44" t="s">
        <v>163</v>
      </c>
      <c r="N29" s="46" t="e">
        <f>VLOOKUP(M29,'Spend Export'!$B:$E,4,FALSE)</f>
        <v>#N/A</v>
      </c>
      <c r="P29" s="44" t="s">
        <v>1647</v>
      </c>
      <c r="Q29" s="44" t="s">
        <v>1429</v>
      </c>
      <c r="R29" s="44" t="s">
        <v>20</v>
      </c>
      <c r="S29" s="44" t="s">
        <v>19</v>
      </c>
      <c r="T29" s="44" t="s">
        <v>1458</v>
      </c>
      <c r="U29" s="44" t="s">
        <v>1458</v>
      </c>
      <c r="V29" s="44" t="s">
        <v>1648</v>
      </c>
      <c r="W29" s="44" t="s">
        <v>1649</v>
      </c>
      <c r="X29" s="44" t="s">
        <v>1439</v>
      </c>
      <c r="Y29" s="44" t="s">
        <v>1429</v>
      </c>
      <c r="Z29" s="44" t="s">
        <v>1386</v>
      </c>
      <c r="AG29" s="44" t="s">
        <v>1650</v>
      </c>
      <c r="AK29" s="44" t="s">
        <v>163</v>
      </c>
    </row>
    <row r="30" spans="1:37">
      <c r="B30" s="44" t="s">
        <v>127</v>
      </c>
      <c r="C30" s="44" t="s">
        <v>127</v>
      </c>
      <c r="D30" s="44" t="s">
        <v>1651</v>
      </c>
      <c r="E30" s="44" t="s">
        <v>1652</v>
      </c>
      <c r="F30" s="44" t="s">
        <v>1653</v>
      </c>
      <c r="G30" s="44" t="s">
        <v>1430</v>
      </c>
      <c r="I30" s="45">
        <v>42795.414574849536</v>
      </c>
      <c r="K30" s="44" t="s">
        <v>1654</v>
      </c>
      <c r="M30" s="44" t="s">
        <v>128</v>
      </c>
      <c r="N30" s="46">
        <f>VLOOKUP(M30,'Spend Export'!$B:$E,4,FALSE)</f>
        <v>692085.00000000035</v>
      </c>
      <c r="O30" s="44" t="s">
        <v>1429</v>
      </c>
      <c r="P30" s="44" t="s">
        <v>1655</v>
      </c>
      <c r="Q30" s="44" t="s">
        <v>1386</v>
      </c>
      <c r="R30" s="44" t="s">
        <v>20</v>
      </c>
      <c r="S30" s="44" t="s">
        <v>19</v>
      </c>
      <c r="T30" s="44" t="s">
        <v>1656</v>
      </c>
      <c r="U30" s="44" t="s">
        <v>1502</v>
      </c>
      <c r="V30" s="44" t="s">
        <v>1657</v>
      </c>
      <c r="W30" s="44" t="s">
        <v>1658</v>
      </c>
      <c r="X30" s="44" t="s">
        <v>1450</v>
      </c>
      <c r="Y30" s="44" t="s">
        <v>1386</v>
      </c>
      <c r="Z30" s="44" t="s">
        <v>1386</v>
      </c>
      <c r="AH30" s="44" t="s">
        <v>1503</v>
      </c>
      <c r="AI30" s="44" t="s">
        <v>1659</v>
      </c>
      <c r="AK30" s="44" t="s">
        <v>128</v>
      </c>
    </row>
    <row r="31" spans="1:37">
      <c r="B31" s="44" t="s">
        <v>125</v>
      </c>
      <c r="C31" s="44" t="s">
        <v>125</v>
      </c>
      <c r="D31" s="44" t="s">
        <v>1660</v>
      </c>
      <c r="E31" s="44" t="s">
        <v>1617</v>
      </c>
      <c r="F31" s="44" t="s">
        <v>1661</v>
      </c>
      <c r="G31" s="44" t="s">
        <v>1430</v>
      </c>
      <c r="I31" s="45">
        <v>40218.454145752316</v>
      </c>
      <c r="K31" s="44" t="s">
        <v>1662</v>
      </c>
      <c r="M31" s="44" t="s">
        <v>126</v>
      </c>
      <c r="N31" s="46">
        <f>VLOOKUP(M31,'Spend Export'!$B:$E,4,FALSE)</f>
        <v>605687.09999999986</v>
      </c>
      <c r="O31" s="44" t="s">
        <v>1429</v>
      </c>
      <c r="P31" s="44" t="s">
        <v>1663</v>
      </c>
      <c r="Q31" s="44" t="s">
        <v>1429</v>
      </c>
      <c r="R31" s="44" t="s">
        <v>19</v>
      </c>
      <c r="S31" s="44" t="s">
        <v>19</v>
      </c>
      <c r="T31" s="44" t="s">
        <v>1664</v>
      </c>
      <c r="U31" s="44" t="s">
        <v>1484</v>
      </c>
      <c r="V31" s="44" t="s">
        <v>1665</v>
      </c>
      <c r="W31" s="44" t="s">
        <v>1666</v>
      </c>
      <c r="X31" s="44" t="s">
        <v>1461</v>
      </c>
      <c r="Y31" s="44" t="s">
        <v>1429</v>
      </c>
      <c r="Z31" s="44" t="s">
        <v>1386</v>
      </c>
      <c r="AG31" s="44" t="s">
        <v>1667</v>
      </c>
      <c r="AI31" s="44" t="s">
        <v>1668</v>
      </c>
      <c r="AK31" s="44" t="s">
        <v>126</v>
      </c>
    </row>
    <row r="32" spans="1:37">
      <c r="B32" s="44" t="s">
        <v>111</v>
      </c>
      <c r="C32" s="44" t="s">
        <v>111</v>
      </c>
      <c r="D32" s="44" t="s">
        <v>1466</v>
      </c>
      <c r="E32" s="44" t="s">
        <v>1207</v>
      </c>
      <c r="F32" s="44" t="s">
        <v>1429</v>
      </c>
      <c r="G32" s="44" t="s">
        <v>1430</v>
      </c>
      <c r="I32" s="45">
        <v>40490.605150428244</v>
      </c>
      <c r="K32" s="44" t="s">
        <v>1669</v>
      </c>
      <c r="M32" s="44" t="s">
        <v>112</v>
      </c>
      <c r="N32" s="46" t="e">
        <f>VLOOKUP(M32,'Spend Export'!$B:$E,4,FALSE)</f>
        <v>#N/A</v>
      </c>
      <c r="O32" s="44" t="s">
        <v>1429</v>
      </c>
      <c r="P32" s="44" t="s">
        <v>1670</v>
      </c>
      <c r="Q32" s="44" t="s">
        <v>1386</v>
      </c>
      <c r="R32" s="44" t="s">
        <v>20</v>
      </c>
      <c r="S32" s="44" t="s">
        <v>19</v>
      </c>
      <c r="T32" s="44" t="s">
        <v>1548</v>
      </c>
      <c r="U32" s="44" t="s">
        <v>1548</v>
      </c>
      <c r="V32" s="44" t="s">
        <v>1671</v>
      </c>
      <c r="W32" s="44" t="s">
        <v>1672</v>
      </c>
      <c r="X32" s="44" t="s">
        <v>1439</v>
      </c>
      <c r="Y32" s="44" t="s">
        <v>1386</v>
      </c>
      <c r="Z32" s="44" t="s">
        <v>1386</v>
      </c>
      <c r="AA32" s="44" t="s">
        <v>1673</v>
      </c>
      <c r="AK32" s="44" t="s">
        <v>112</v>
      </c>
    </row>
    <row r="33" spans="1:37">
      <c r="B33" s="44" t="s">
        <v>77</v>
      </c>
      <c r="C33" s="44" t="s">
        <v>77</v>
      </c>
      <c r="D33" s="44" t="s">
        <v>1428</v>
      </c>
      <c r="E33" s="44" t="s">
        <v>1207</v>
      </c>
      <c r="F33" s="44" t="s">
        <v>1429</v>
      </c>
      <c r="G33" s="44" t="s">
        <v>1430</v>
      </c>
      <c r="I33" s="45">
        <v>43752.510744525462</v>
      </c>
      <c r="J33" s="44" t="s">
        <v>1674</v>
      </c>
      <c r="K33" s="44" t="s">
        <v>1675</v>
      </c>
      <c r="L33" s="44" t="s">
        <v>1676</v>
      </c>
      <c r="M33" s="44" t="s">
        <v>78</v>
      </c>
      <c r="N33" s="46" t="e">
        <f>VLOOKUP(M33,'Spend Export'!$B:$E,4,FALSE)</f>
        <v>#N/A</v>
      </c>
      <c r="P33" s="44" t="s">
        <v>1677</v>
      </c>
      <c r="Q33" s="44" t="s">
        <v>1429</v>
      </c>
      <c r="R33" s="44" t="s">
        <v>19</v>
      </c>
      <c r="S33" s="44" t="s">
        <v>19</v>
      </c>
      <c r="T33" s="44" t="s">
        <v>1458</v>
      </c>
      <c r="U33" s="44" t="s">
        <v>1458</v>
      </c>
      <c r="V33" s="44" t="s">
        <v>1678</v>
      </c>
      <c r="W33" s="44" t="s">
        <v>1679</v>
      </c>
      <c r="X33" s="44" t="s">
        <v>1439</v>
      </c>
      <c r="Y33" s="44" t="s">
        <v>1429</v>
      </c>
      <c r="Z33" s="44" t="s">
        <v>1386</v>
      </c>
      <c r="AA33" s="44" t="s">
        <v>1462</v>
      </c>
      <c r="AE33" s="44" t="s">
        <v>1452</v>
      </c>
      <c r="AI33" s="44" t="s">
        <v>1680</v>
      </c>
      <c r="AK33" s="44" t="s">
        <v>78</v>
      </c>
    </row>
    <row r="34" spans="1:37">
      <c r="B34" s="44" t="s">
        <v>408</v>
      </c>
      <c r="C34" s="44" t="s">
        <v>408</v>
      </c>
      <c r="D34" s="44" t="s">
        <v>1681</v>
      </c>
      <c r="E34" s="44" t="s">
        <v>1682</v>
      </c>
      <c r="F34" s="44" t="s">
        <v>1429</v>
      </c>
      <c r="G34" s="44" t="s">
        <v>1430</v>
      </c>
      <c r="I34" s="45">
        <v>44232.378636030095</v>
      </c>
      <c r="J34" s="44" t="s">
        <v>1492</v>
      </c>
      <c r="K34" s="44" t="s">
        <v>1683</v>
      </c>
      <c r="M34" s="44" t="s">
        <v>409</v>
      </c>
      <c r="N34" s="46" t="e">
        <f>VLOOKUP(M34,'Spend Export'!$B:$E,4,FALSE)</f>
        <v>#N/A</v>
      </c>
      <c r="P34" s="44" t="s">
        <v>1684</v>
      </c>
      <c r="Q34" s="44" t="s">
        <v>1429</v>
      </c>
      <c r="R34" s="44" t="s">
        <v>19</v>
      </c>
      <c r="S34" s="44" t="s">
        <v>19</v>
      </c>
      <c r="T34" s="44" t="s">
        <v>1458</v>
      </c>
      <c r="U34" s="44" t="s">
        <v>1458</v>
      </c>
      <c r="V34" s="44" t="s">
        <v>1685</v>
      </c>
      <c r="W34" s="44" t="s">
        <v>1686</v>
      </c>
      <c r="X34" s="44" t="s">
        <v>1439</v>
      </c>
      <c r="Y34" s="44" t="s">
        <v>1386</v>
      </c>
      <c r="Z34" s="44" t="s">
        <v>1386</v>
      </c>
      <c r="AA34" s="44" t="s">
        <v>1687</v>
      </c>
      <c r="AI34" s="44" t="s">
        <v>1688</v>
      </c>
      <c r="AK34" s="44" t="s">
        <v>409</v>
      </c>
    </row>
    <row r="35" spans="1:37">
      <c r="B35" s="44" t="s">
        <v>414</v>
      </c>
      <c r="C35" s="44" t="s">
        <v>414</v>
      </c>
      <c r="D35" s="44" t="s">
        <v>1689</v>
      </c>
      <c r="E35" s="44" t="s">
        <v>1652</v>
      </c>
      <c r="F35" s="44" t="s">
        <v>1690</v>
      </c>
      <c r="G35" s="44" t="s">
        <v>1430</v>
      </c>
      <c r="I35" s="45">
        <v>45055.705537731483</v>
      </c>
      <c r="J35" s="44" t="s">
        <v>1691</v>
      </c>
      <c r="K35" s="44" t="s">
        <v>1692</v>
      </c>
      <c r="M35" s="44" t="s">
        <v>415</v>
      </c>
      <c r="N35" s="46">
        <f>VLOOKUP(M35,'Spend Export'!$B:$E,4,FALSE)</f>
        <v>522745</v>
      </c>
      <c r="O35" s="44" t="s">
        <v>1429</v>
      </c>
      <c r="P35" s="44" t="s">
        <v>1693</v>
      </c>
      <c r="Q35" s="44" t="s">
        <v>1429</v>
      </c>
      <c r="R35" s="44" t="s">
        <v>20</v>
      </c>
      <c r="S35" s="44" t="s">
        <v>19</v>
      </c>
      <c r="T35" s="44" t="s">
        <v>1484</v>
      </c>
      <c r="U35" s="44" t="s">
        <v>1484</v>
      </c>
      <c r="V35" s="44" t="s">
        <v>1694</v>
      </c>
      <c r="W35" s="44" t="s">
        <v>1695</v>
      </c>
      <c r="X35" s="44" t="s">
        <v>1450</v>
      </c>
      <c r="Y35" s="44" t="s">
        <v>1429</v>
      </c>
      <c r="Z35" s="44" t="s">
        <v>1429</v>
      </c>
      <c r="AI35" s="44" t="s">
        <v>1696</v>
      </c>
      <c r="AK35" s="44" t="s">
        <v>415</v>
      </c>
    </row>
    <row r="36" spans="1:37">
      <c r="A36" s="44" t="s">
        <v>1697</v>
      </c>
      <c r="B36" s="44" t="s">
        <v>160</v>
      </c>
      <c r="C36" s="44" t="s">
        <v>160</v>
      </c>
      <c r="D36" s="44" t="s">
        <v>1428</v>
      </c>
      <c r="E36" s="44" t="s">
        <v>1207</v>
      </c>
      <c r="F36" s="44" t="s">
        <v>1698</v>
      </c>
      <c r="G36" s="44" t="s">
        <v>1430</v>
      </c>
      <c r="H36" s="44" t="s">
        <v>1431</v>
      </c>
      <c r="I36" s="45">
        <v>38569.687469791665</v>
      </c>
      <c r="K36" s="44" t="s">
        <v>1699</v>
      </c>
      <c r="M36" s="44" t="s">
        <v>161</v>
      </c>
      <c r="N36" s="46" t="e">
        <f>VLOOKUP(M36,'Spend Export'!$B:$E,4,FALSE)</f>
        <v>#N/A</v>
      </c>
      <c r="P36" s="44" t="s">
        <v>1700</v>
      </c>
      <c r="Q36" s="44" t="s">
        <v>1429</v>
      </c>
      <c r="R36" s="44" t="s">
        <v>20</v>
      </c>
      <c r="S36" s="44" t="s">
        <v>19</v>
      </c>
      <c r="T36" s="44" t="s">
        <v>1701</v>
      </c>
      <c r="U36" s="44" t="s">
        <v>1458</v>
      </c>
      <c r="V36" s="44" t="s">
        <v>1702</v>
      </c>
      <c r="W36" s="44" t="s">
        <v>1703</v>
      </c>
      <c r="X36" s="44" t="s">
        <v>1461</v>
      </c>
      <c r="Y36" s="44" t="s">
        <v>1429</v>
      </c>
      <c r="Z36" s="44" t="s">
        <v>1386</v>
      </c>
      <c r="AA36" s="44" t="s">
        <v>1462</v>
      </c>
      <c r="AK36" s="44" t="s">
        <v>161</v>
      </c>
    </row>
    <row r="37" spans="1:37">
      <c r="B37" s="44" t="s">
        <v>1704</v>
      </c>
      <c r="C37" s="44" t="s">
        <v>1704</v>
      </c>
      <c r="D37" s="44" t="s">
        <v>1651</v>
      </c>
      <c r="E37" s="44" t="s">
        <v>1652</v>
      </c>
      <c r="F37" s="44" t="s">
        <v>1705</v>
      </c>
      <c r="G37" s="44" t="s">
        <v>1430</v>
      </c>
      <c r="I37" s="45">
        <v>41954.493983680557</v>
      </c>
      <c r="K37" s="44" t="s">
        <v>1706</v>
      </c>
      <c r="M37" s="44" t="s">
        <v>102</v>
      </c>
      <c r="N37" s="46">
        <f>VLOOKUP(M37,'Spend Export'!$B:$E,4,FALSE)</f>
        <v>478302.71</v>
      </c>
      <c r="P37" s="44" t="s">
        <v>1707</v>
      </c>
      <c r="Q37" s="44" t="s">
        <v>1429</v>
      </c>
      <c r="R37" s="44" t="s">
        <v>19</v>
      </c>
      <c r="S37" s="44" t="s">
        <v>19</v>
      </c>
      <c r="T37" s="44" t="s">
        <v>1708</v>
      </c>
      <c r="U37" s="44" t="s">
        <v>1708</v>
      </c>
      <c r="V37" s="44" t="s">
        <v>1709</v>
      </c>
      <c r="W37" s="44" t="s">
        <v>1710</v>
      </c>
      <c r="X37" s="44" t="s">
        <v>1439</v>
      </c>
      <c r="Y37" s="44" t="s">
        <v>1429</v>
      </c>
      <c r="Z37" s="44" t="s">
        <v>1386</v>
      </c>
      <c r="AH37" s="44" t="s">
        <v>1488</v>
      </c>
      <c r="AK37" s="44" t="s">
        <v>102</v>
      </c>
    </row>
    <row r="38" spans="1:37">
      <c r="B38" s="44" t="s">
        <v>75</v>
      </c>
      <c r="C38" s="44" t="s">
        <v>75</v>
      </c>
      <c r="D38" s="44" t="s">
        <v>1443</v>
      </c>
      <c r="E38" s="44" t="s">
        <v>1207</v>
      </c>
      <c r="F38" s="44" t="s">
        <v>1711</v>
      </c>
      <c r="G38" s="44" t="s">
        <v>1430</v>
      </c>
      <c r="I38" s="45">
        <v>42199.435933252316</v>
      </c>
      <c r="K38" s="44" t="s">
        <v>1712</v>
      </c>
      <c r="L38" s="44" t="s">
        <v>1713</v>
      </c>
      <c r="M38" s="44" t="s">
        <v>76</v>
      </c>
      <c r="N38" s="46">
        <f>VLOOKUP(M38,'Spend Export'!$B:$E,4,FALSE)</f>
        <v>453472.04999999981</v>
      </c>
      <c r="O38" s="44" t="s">
        <v>1429</v>
      </c>
      <c r="P38" s="44" t="s">
        <v>1714</v>
      </c>
      <c r="Q38" s="44" t="s">
        <v>1429</v>
      </c>
      <c r="R38" s="44" t="s">
        <v>20</v>
      </c>
      <c r="S38" s="44" t="s">
        <v>19</v>
      </c>
      <c r="T38" s="44" t="s">
        <v>1509</v>
      </c>
      <c r="U38" s="44" t="s">
        <v>1509</v>
      </c>
      <c r="V38" s="44" t="s">
        <v>1715</v>
      </c>
      <c r="W38" s="44" t="s">
        <v>1716</v>
      </c>
      <c r="X38" s="44" t="s">
        <v>1450</v>
      </c>
      <c r="Y38" s="44" t="s">
        <v>1386</v>
      </c>
      <c r="Z38" s="44" t="s">
        <v>1429</v>
      </c>
      <c r="AG38" s="44" t="s">
        <v>1717</v>
      </c>
      <c r="AI38" s="44" t="s">
        <v>1718</v>
      </c>
      <c r="AK38" s="44" t="s">
        <v>76</v>
      </c>
    </row>
    <row r="39" spans="1:37">
      <c r="B39" s="44" t="s">
        <v>103</v>
      </c>
      <c r="C39" s="44" t="s">
        <v>103</v>
      </c>
      <c r="D39" s="44" t="s">
        <v>1522</v>
      </c>
      <c r="E39" s="44" t="s">
        <v>1207</v>
      </c>
      <c r="F39" s="44" t="s">
        <v>1429</v>
      </c>
      <c r="G39" s="44" t="s">
        <v>1430</v>
      </c>
      <c r="I39" s="45">
        <v>43005.650237499998</v>
      </c>
      <c r="J39" s="44" t="s">
        <v>1719</v>
      </c>
      <c r="K39" s="44" t="s">
        <v>1720</v>
      </c>
      <c r="M39" s="44" t="s">
        <v>104</v>
      </c>
      <c r="N39" s="46" t="e">
        <f>VLOOKUP(M39,'Spend Export'!$B:$E,4,FALSE)</f>
        <v>#N/A</v>
      </c>
      <c r="O39" s="44" t="s">
        <v>1429</v>
      </c>
      <c r="P39" s="44" t="s">
        <v>1721</v>
      </c>
      <c r="Q39" s="44" t="s">
        <v>1429</v>
      </c>
      <c r="R39" s="44" t="s">
        <v>20</v>
      </c>
      <c r="S39" s="44" t="s">
        <v>19</v>
      </c>
      <c r="T39" s="44" t="s">
        <v>1722</v>
      </c>
      <c r="U39" s="44" t="s">
        <v>1436</v>
      </c>
      <c r="V39" s="44" t="s">
        <v>1723</v>
      </c>
      <c r="W39" s="44" t="s">
        <v>1724</v>
      </c>
      <c r="X39" s="44" t="s">
        <v>1461</v>
      </c>
      <c r="Y39" s="44" t="s">
        <v>1429</v>
      </c>
      <c r="Z39" s="44" t="s">
        <v>1386</v>
      </c>
      <c r="AA39" s="44" t="s">
        <v>1725</v>
      </c>
      <c r="AI39" s="44" t="s">
        <v>1726</v>
      </c>
      <c r="AK39" s="44" t="s">
        <v>104</v>
      </c>
    </row>
    <row r="40" spans="1:37">
      <c r="B40" s="44" t="s">
        <v>223</v>
      </c>
      <c r="C40" s="44" t="s">
        <v>223</v>
      </c>
      <c r="D40" s="44" t="s">
        <v>1428</v>
      </c>
      <c r="E40" s="44" t="s">
        <v>1207</v>
      </c>
      <c r="F40" s="44" t="s">
        <v>1429</v>
      </c>
      <c r="G40" s="44" t="s">
        <v>1430</v>
      </c>
      <c r="I40" s="45">
        <v>44749.438920983797</v>
      </c>
      <c r="J40" s="44" t="s">
        <v>1687</v>
      </c>
      <c r="K40" s="44" t="s">
        <v>1727</v>
      </c>
      <c r="M40" s="44" t="s">
        <v>224</v>
      </c>
      <c r="N40" s="46" t="e">
        <f>VLOOKUP(M40,'Spend Export'!$B:$E,4,FALSE)</f>
        <v>#N/A</v>
      </c>
      <c r="O40" s="44" t="s">
        <v>1429</v>
      </c>
      <c r="P40" s="44" t="s">
        <v>1728</v>
      </c>
      <c r="Q40" s="44" t="s">
        <v>1429</v>
      </c>
      <c r="R40" s="44" t="s">
        <v>20</v>
      </c>
      <c r="S40" s="44" t="s">
        <v>19</v>
      </c>
      <c r="T40" s="44" t="s">
        <v>1458</v>
      </c>
      <c r="U40" s="44" t="s">
        <v>1458</v>
      </c>
      <c r="V40" s="44" t="s">
        <v>1729</v>
      </c>
      <c r="W40" s="44" t="s">
        <v>1730</v>
      </c>
      <c r="X40" s="44" t="s">
        <v>1439</v>
      </c>
      <c r="Y40" s="44" t="s">
        <v>1429</v>
      </c>
      <c r="Z40" s="44" t="s">
        <v>1386</v>
      </c>
      <c r="AA40" s="44" t="s">
        <v>1528</v>
      </c>
      <c r="AI40" s="44" t="s">
        <v>1731</v>
      </c>
      <c r="AK40" s="44" t="s">
        <v>224</v>
      </c>
    </row>
    <row r="41" spans="1:37">
      <c r="B41" s="44" t="s">
        <v>1732</v>
      </c>
      <c r="C41" s="44" t="s">
        <v>1732</v>
      </c>
      <c r="D41" s="44" t="s">
        <v>1466</v>
      </c>
      <c r="E41" s="44" t="s">
        <v>1207</v>
      </c>
      <c r="F41" s="44" t="s">
        <v>1429</v>
      </c>
      <c r="G41" s="44" t="s">
        <v>1430</v>
      </c>
      <c r="I41" s="45">
        <v>37918.71253503472</v>
      </c>
      <c r="K41" s="44" t="s">
        <v>1733</v>
      </c>
      <c r="M41" s="44" t="s">
        <v>494</v>
      </c>
      <c r="N41" s="46" t="e">
        <f>VLOOKUP(M41,'Spend Export'!$B:$E,4,FALSE)</f>
        <v>#N/A</v>
      </c>
      <c r="P41" s="44" t="s">
        <v>1734</v>
      </c>
      <c r="Q41" s="44" t="s">
        <v>1429</v>
      </c>
      <c r="R41" s="44" t="s">
        <v>20</v>
      </c>
      <c r="S41" s="44" t="s">
        <v>19</v>
      </c>
      <c r="T41" s="44" t="s">
        <v>1458</v>
      </c>
      <c r="U41" s="44" t="s">
        <v>1458</v>
      </c>
      <c r="V41" s="44" t="s">
        <v>1735</v>
      </c>
      <c r="W41" s="44" t="s">
        <v>1736</v>
      </c>
      <c r="X41" s="44" t="s">
        <v>1439</v>
      </c>
      <c r="Y41" s="44" t="s">
        <v>1429</v>
      </c>
      <c r="Z41" s="44" t="s">
        <v>1429</v>
      </c>
      <c r="AG41" s="44" t="s">
        <v>1737</v>
      </c>
      <c r="AK41" s="44" t="s">
        <v>494</v>
      </c>
    </row>
    <row r="42" spans="1:37">
      <c r="A42" s="44" t="s">
        <v>1738</v>
      </c>
      <c r="B42" s="44" t="s">
        <v>14</v>
      </c>
      <c r="C42" s="44" t="s">
        <v>1739</v>
      </c>
      <c r="D42" s="44" t="s">
        <v>1740</v>
      </c>
      <c r="E42" s="44" t="s">
        <v>1207</v>
      </c>
      <c r="F42" s="44" t="s">
        <v>1741</v>
      </c>
      <c r="G42" s="44" t="s">
        <v>1430</v>
      </c>
      <c r="H42" s="44" t="s">
        <v>1431</v>
      </c>
      <c r="I42" s="45">
        <v>40086.434780405092</v>
      </c>
      <c r="K42" s="44" t="s">
        <v>1742</v>
      </c>
      <c r="M42" s="44" t="s">
        <v>15</v>
      </c>
      <c r="N42" s="46">
        <f>VLOOKUP(M42,'Spend Export'!$B:$E,4,FALSE)</f>
        <v>345458.50999999983</v>
      </c>
      <c r="O42" s="44" t="s">
        <v>1429</v>
      </c>
      <c r="P42" s="44" t="s">
        <v>1743</v>
      </c>
      <c r="Q42" s="44" t="s">
        <v>1429</v>
      </c>
      <c r="R42" s="44" t="s">
        <v>19</v>
      </c>
      <c r="S42" s="44" t="s">
        <v>19</v>
      </c>
      <c r="T42" s="44" t="s">
        <v>1744</v>
      </c>
      <c r="U42" s="44" t="s">
        <v>1745</v>
      </c>
      <c r="V42" s="44" t="s">
        <v>1746</v>
      </c>
      <c r="W42" s="44" t="s">
        <v>1747</v>
      </c>
      <c r="X42" s="44" t="s">
        <v>1450</v>
      </c>
      <c r="Y42" s="44" t="s">
        <v>1386</v>
      </c>
      <c r="Z42" s="44" t="s">
        <v>1386</v>
      </c>
      <c r="AH42" s="44" t="s">
        <v>1488</v>
      </c>
      <c r="AI42" s="44" t="s">
        <v>1748</v>
      </c>
      <c r="AK42" s="44" t="s">
        <v>15</v>
      </c>
    </row>
    <row r="43" spans="1:37">
      <c r="A43" s="44" t="s">
        <v>1749</v>
      </c>
      <c r="B43" s="44" t="s">
        <v>1750</v>
      </c>
      <c r="C43" s="44" t="s">
        <v>1750</v>
      </c>
      <c r="D43" s="44" t="s">
        <v>1466</v>
      </c>
      <c r="E43" s="44" t="s">
        <v>1207</v>
      </c>
      <c r="F43" s="44" t="s">
        <v>1429</v>
      </c>
      <c r="G43" s="44" t="s">
        <v>1430</v>
      </c>
      <c r="H43" s="44" t="s">
        <v>1431</v>
      </c>
      <c r="I43" s="45">
        <v>39854.598820983796</v>
      </c>
      <c r="K43" s="44" t="s">
        <v>1751</v>
      </c>
      <c r="L43" s="44" t="s">
        <v>1752</v>
      </c>
      <c r="M43" s="44" t="s">
        <v>72</v>
      </c>
      <c r="N43" s="46" t="e">
        <f>VLOOKUP(M43,'Spend Export'!$B:$E,4,FALSE)</f>
        <v>#N/A</v>
      </c>
      <c r="O43" s="44" t="s">
        <v>1429</v>
      </c>
      <c r="P43" s="44" t="s">
        <v>1753</v>
      </c>
      <c r="Q43" s="44" t="s">
        <v>1429</v>
      </c>
      <c r="R43" s="44" t="s">
        <v>19</v>
      </c>
      <c r="S43" s="44" t="s">
        <v>19</v>
      </c>
      <c r="T43" s="44" t="s">
        <v>1458</v>
      </c>
      <c r="U43" s="44" t="s">
        <v>1458</v>
      </c>
      <c r="V43" s="44" t="s">
        <v>1754</v>
      </c>
      <c r="W43" s="44" t="s">
        <v>1755</v>
      </c>
      <c r="X43" s="44" t="s">
        <v>1461</v>
      </c>
      <c r="Y43" s="44" t="s">
        <v>1386</v>
      </c>
      <c r="Z43" s="44" t="s">
        <v>1429</v>
      </c>
      <c r="AG43" s="44" t="s">
        <v>1487</v>
      </c>
      <c r="AK43" s="44" t="s">
        <v>72</v>
      </c>
    </row>
    <row r="44" spans="1:37">
      <c r="B44" s="44" t="s">
        <v>135</v>
      </c>
      <c r="C44" s="44" t="s">
        <v>135</v>
      </c>
      <c r="D44" s="44" t="s">
        <v>1466</v>
      </c>
      <c r="E44" s="44" t="s">
        <v>1207</v>
      </c>
      <c r="F44" s="44" t="s">
        <v>1429</v>
      </c>
      <c r="G44" s="44" t="s">
        <v>1430</v>
      </c>
      <c r="I44" s="45">
        <v>44640.65838630787</v>
      </c>
      <c r="J44" s="44" t="s">
        <v>1756</v>
      </c>
      <c r="K44" s="44" t="s">
        <v>1757</v>
      </c>
      <c r="M44" s="44" t="s">
        <v>136</v>
      </c>
      <c r="N44" s="46" t="e">
        <f>VLOOKUP(M44,'Spend Export'!$B:$E,4,FALSE)</f>
        <v>#N/A</v>
      </c>
      <c r="O44" s="44" t="s">
        <v>1429</v>
      </c>
      <c r="P44" s="44" t="s">
        <v>1758</v>
      </c>
      <c r="Q44" s="44" t="s">
        <v>1429</v>
      </c>
      <c r="R44" s="44" t="s">
        <v>20</v>
      </c>
      <c r="S44" s="44" t="s">
        <v>19</v>
      </c>
      <c r="T44" s="44" t="s">
        <v>1458</v>
      </c>
      <c r="U44" s="44" t="s">
        <v>1458</v>
      </c>
      <c r="V44" s="44" t="s">
        <v>1759</v>
      </c>
      <c r="W44" s="44" t="s">
        <v>1760</v>
      </c>
      <c r="X44" s="44" t="s">
        <v>1461</v>
      </c>
      <c r="Y44" s="44" t="s">
        <v>1429</v>
      </c>
      <c r="Z44" s="44" t="s">
        <v>1386</v>
      </c>
      <c r="AA44" s="44" t="s">
        <v>1761</v>
      </c>
      <c r="AG44" s="44" t="s">
        <v>1762</v>
      </c>
      <c r="AI44" s="44" t="s">
        <v>1763</v>
      </c>
      <c r="AK44" s="44" t="s">
        <v>136</v>
      </c>
    </row>
    <row r="45" spans="1:37">
      <c r="B45" s="44" t="s">
        <v>209</v>
      </c>
      <c r="C45" s="44" t="s">
        <v>209</v>
      </c>
      <c r="D45" s="44" t="s">
        <v>1764</v>
      </c>
      <c r="E45" s="44" t="s">
        <v>1617</v>
      </c>
      <c r="F45" s="44" t="s">
        <v>1429</v>
      </c>
      <c r="G45" s="44" t="s">
        <v>1430</v>
      </c>
      <c r="I45" s="45">
        <v>43627.524097106485</v>
      </c>
      <c r="J45" s="44" t="s">
        <v>1765</v>
      </c>
      <c r="K45" s="44" t="s">
        <v>1766</v>
      </c>
      <c r="M45" s="44" t="s">
        <v>210</v>
      </c>
      <c r="N45" s="46" t="e">
        <f>VLOOKUP(M45,'Spend Export'!$B:$E,4,FALSE)</f>
        <v>#N/A</v>
      </c>
      <c r="P45" s="44" t="s">
        <v>1429</v>
      </c>
      <c r="Q45" s="44" t="s">
        <v>1429</v>
      </c>
      <c r="R45" s="44" t="s">
        <v>20</v>
      </c>
      <c r="S45" s="44" t="s">
        <v>19</v>
      </c>
      <c r="T45" s="44" t="s">
        <v>1458</v>
      </c>
      <c r="U45" s="44" t="s">
        <v>1458</v>
      </c>
      <c r="V45" s="44" t="s">
        <v>1621</v>
      </c>
      <c r="W45" s="44" t="s">
        <v>1767</v>
      </c>
      <c r="X45" s="44" t="s">
        <v>1461</v>
      </c>
      <c r="Y45" s="44" t="s">
        <v>1429</v>
      </c>
      <c r="Z45" s="44" t="s">
        <v>1386</v>
      </c>
      <c r="AG45" s="44" t="s">
        <v>1765</v>
      </c>
      <c r="AI45" s="44" t="s">
        <v>1768</v>
      </c>
      <c r="AK45" s="44" t="s">
        <v>210</v>
      </c>
    </row>
    <row r="46" spans="1:37">
      <c r="B46" s="44" t="s">
        <v>40</v>
      </c>
      <c r="C46" s="44" t="s">
        <v>40</v>
      </c>
      <c r="D46" s="44" t="s">
        <v>1769</v>
      </c>
      <c r="E46" s="44" t="s">
        <v>1207</v>
      </c>
      <c r="F46" s="44" t="s">
        <v>1770</v>
      </c>
      <c r="G46" s="44" t="s">
        <v>1430</v>
      </c>
      <c r="I46" s="45">
        <v>38839.592013773145</v>
      </c>
      <c r="K46" s="44" t="s">
        <v>1771</v>
      </c>
      <c r="M46" s="44" t="s">
        <v>41</v>
      </c>
      <c r="N46" s="46">
        <f>VLOOKUP(M46,'Spend Export'!$B:$E,4,FALSE)</f>
        <v>323750.96999999962</v>
      </c>
      <c r="P46" s="44" t="s">
        <v>1772</v>
      </c>
      <c r="Q46" s="44" t="s">
        <v>1429</v>
      </c>
      <c r="R46" s="44" t="s">
        <v>19</v>
      </c>
      <c r="S46" s="44" t="s">
        <v>19</v>
      </c>
      <c r="T46" s="44" t="s">
        <v>1708</v>
      </c>
      <c r="U46" s="44" t="s">
        <v>1708</v>
      </c>
      <c r="V46" s="44" t="s">
        <v>1773</v>
      </c>
      <c r="W46" s="44" t="s">
        <v>1774</v>
      </c>
      <c r="X46" s="44" t="s">
        <v>1439</v>
      </c>
      <c r="Y46" s="44" t="s">
        <v>1386</v>
      </c>
      <c r="Z46" s="44" t="s">
        <v>1386</v>
      </c>
      <c r="AG46" s="44" t="s">
        <v>1775</v>
      </c>
      <c r="AK46" s="44" t="s">
        <v>41</v>
      </c>
    </row>
    <row r="47" spans="1:37">
      <c r="B47" s="44" t="s">
        <v>213</v>
      </c>
      <c r="C47" s="44" t="s">
        <v>1776</v>
      </c>
      <c r="D47" s="44" t="s">
        <v>1466</v>
      </c>
      <c r="E47" s="44" t="s">
        <v>1207</v>
      </c>
      <c r="F47" s="44" t="s">
        <v>1777</v>
      </c>
      <c r="G47" s="44" t="s">
        <v>1430</v>
      </c>
      <c r="I47" s="45">
        <v>38777.586032175925</v>
      </c>
      <c r="K47" s="44" t="s">
        <v>1778</v>
      </c>
      <c r="L47" s="44" t="s">
        <v>1779</v>
      </c>
      <c r="M47" s="44" t="s">
        <v>214</v>
      </c>
      <c r="N47" s="46">
        <f>VLOOKUP(M47,'Spend Export'!$B:$E,4,FALSE)</f>
        <v>322874.51</v>
      </c>
      <c r="O47" s="44" t="s">
        <v>1429</v>
      </c>
      <c r="P47" s="44" t="s">
        <v>1780</v>
      </c>
      <c r="Q47" s="44" t="s">
        <v>1429</v>
      </c>
      <c r="R47" s="44" t="s">
        <v>19</v>
      </c>
      <c r="S47" s="44" t="s">
        <v>19</v>
      </c>
      <c r="T47" s="44" t="s">
        <v>1708</v>
      </c>
      <c r="U47" s="44" t="s">
        <v>1708</v>
      </c>
      <c r="V47" s="44" t="s">
        <v>1781</v>
      </c>
      <c r="W47" s="44" t="s">
        <v>1782</v>
      </c>
      <c r="X47" s="44" t="s">
        <v>1439</v>
      </c>
      <c r="Y47" s="44" t="s">
        <v>1429</v>
      </c>
      <c r="Z47" s="44" t="s">
        <v>1386</v>
      </c>
      <c r="AG47" s="44" t="s">
        <v>1487</v>
      </c>
      <c r="AH47" s="44" t="s">
        <v>1488</v>
      </c>
      <c r="AK47" s="44" t="s">
        <v>214</v>
      </c>
    </row>
    <row r="48" spans="1:37">
      <c r="B48" s="44" t="s">
        <v>254</v>
      </c>
      <c r="C48" s="44" t="s">
        <v>254</v>
      </c>
      <c r="D48" s="44" t="s">
        <v>1783</v>
      </c>
      <c r="E48" s="44" t="s">
        <v>1784</v>
      </c>
      <c r="F48" s="44" t="s">
        <v>1429</v>
      </c>
      <c r="G48" s="44" t="s">
        <v>1430</v>
      </c>
      <c r="I48" s="45">
        <v>44896.659265972223</v>
      </c>
      <c r="J48" s="44" t="s">
        <v>1785</v>
      </c>
      <c r="K48" s="44" t="s">
        <v>1786</v>
      </c>
      <c r="M48" s="44" t="s">
        <v>255</v>
      </c>
      <c r="N48" s="46">
        <f>VLOOKUP(M48,'Spend Export'!$B:$E,4,FALSE)</f>
        <v>290940.80000000005</v>
      </c>
      <c r="O48" s="44" t="s">
        <v>1429</v>
      </c>
      <c r="P48" s="44" t="s">
        <v>1429</v>
      </c>
      <c r="Q48" s="44" t="s">
        <v>1429</v>
      </c>
      <c r="R48" s="44" t="s">
        <v>20</v>
      </c>
      <c r="S48" s="44" t="s">
        <v>19</v>
      </c>
      <c r="T48" s="44" t="s">
        <v>1556</v>
      </c>
      <c r="U48" s="44" t="s">
        <v>1556</v>
      </c>
      <c r="V48" s="44" t="s">
        <v>1787</v>
      </c>
      <c r="W48" s="44" t="s">
        <v>1788</v>
      </c>
      <c r="X48" s="44" t="s">
        <v>1450</v>
      </c>
      <c r="Y48" s="44" t="s">
        <v>1429</v>
      </c>
      <c r="Z48" s="44" t="s">
        <v>1429</v>
      </c>
      <c r="AI48" s="44" t="s">
        <v>1789</v>
      </c>
      <c r="AK48" s="44" t="s">
        <v>255</v>
      </c>
    </row>
    <row r="49" spans="1:37">
      <c r="B49" s="44" t="s">
        <v>339</v>
      </c>
      <c r="C49" s="44" t="s">
        <v>339</v>
      </c>
      <c r="D49" s="44" t="s">
        <v>1443</v>
      </c>
      <c r="E49" s="44" t="s">
        <v>1207</v>
      </c>
      <c r="F49" s="44" t="s">
        <v>1429</v>
      </c>
      <c r="G49" s="44" t="s">
        <v>1430</v>
      </c>
      <c r="I49" s="45">
        <v>44124.422050613422</v>
      </c>
      <c r="J49" s="44" t="s">
        <v>1492</v>
      </c>
      <c r="K49" s="44" t="s">
        <v>1790</v>
      </c>
      <c r="M49" s="44" t="s">
        <v>340</v>
      </c>
      <c r="N49" s="46" t="e">
        <f>VLOOKUP(M49,'Spend Export'!$B:$E,4,FALSE)</f>
        <v>#N/A</v>
      </c>
      <c r="P49" s="44" t="s">
        <v>1791</v>
      </c>
      <c r="Q49" s="44" t="s">
        <v>1429</v>
      </c>
      <c r="R49" s="44" t="s">
        <v>20</v>
      </c>
      <c r="S49" s="44" t="s">
        <v>19</v>
      </c>
      <c r="T49" s="44" t="s">
        <v>1458</v>
      </c>
      <c r="U49" s="44" t="s">
        <v>1458</v>
      </c>
      <c r="V49" s="44" t="s">
        <v>1792</v>
      </c>
      <c r="W49" s="44" t="s">
        <v>1793</v>
      </c>
      <c r="X49" s="44" t="s">
        <v>1450</v>
      </c>
      <c r="Y49" s="44" t="s">
        <v>1386</v>
      </c>
      <c r="Z49" s="44" t="s">
        <v>1386</v>
      </c>
      <c r="AA49" s="44" t="s">
        <v>1794</v>
      </c>
      <c r="AI49" s="44" t="s">
        <v>1795</v>
      </c>
      <c r="AK49" s="44" t="s">
        <v>340</v>
      </c>
    </row>
    <row r="50" spans="1:37">
      <c r="B50" s="44" t="s">
        <v>172</v>
      </c>
      <c r="C50" s="44" t="s">
        <v>172</v>
      </c>
      <c r="D50" s="44" t="s">
        <v>1466</v>
      </c>
      <c r="E50" s="44" t="s">
        <v>1207</v>
      </c>
      <c r="F50" s="44" t="s">
        <v>1796</v>
      </c>
      <c r="G50" s="44" t="s">
        <v>1430</v>
      </c>
      <c r="I50" s="45">
        <v>40829.638677199073</v>
      </c>
      <c r="K50" s="44" t="s">
        <v>1797</v>
      </c>
      <c r="M50" s="44" t="s">
        <v>173</v>
      </c>
      <c r="N50" s="46" t="e">
        <f>VLOOKUP(M50,'Spend Export'!$B:$E,4,FALSE)</f>
        <v>#N/A</v>
      </c>
      <c r="P50" s="44" t="s">
        <v>1798</v>
      </c>
      <c r="Q50" s="44" t="s">
        <v>1429</v>
      </c>
      <c r="R50" s="44" t="s">
        <v>20</v>
      </c>
      <c r="S50" s="44" t="s">
        <v>19</v>
      </c>
      <c r="T50" s="44" t="s">
        <v>1458</v>
      </c>
      <c r="U50" s="44" t="s">
        <v>1458</v>
      </c>
      <c r="V50" s="44" t="s">
        <v>1799</v>
      </c>
      <c r="W50" s="44" t="s">
        <v>1800</v>
      </c>
      <c r="X50" s="44" t="s">
        <v>1461</v>
      </c>
      <c r="Y50" s="44" t="s">
        <v>1429</v>
      </c>
      <c r="Z50" s="44" t="s">
        <v>1386</v>
      </c>
      <c r="AA50" s="44" t="s">
        <v>1801</v>
      </c>
      <c r="AK50" s="44" t="s">
        <v>173</v>
      </c>
    </row>
    <row r="51" spans="1:37">
      <c r="B51" s="44" t="s">
        <v>105</v>
      </c>
      <c r="C51" s="44" t="s">
        <v>105</v>
      </c>
      <c r="D51" s="44" t="s">
        <v>1466</v>
      </c>
      <c r="E51" s="44" t="s">
        <v>1207</v>
      </c>
      <c r="F51" s="44" t="s">
        <v>1429</v>
      </c>
      <c r="G51" s="44" t="s">
        <v>1430</v>
      </c>
      <c r="I51" s="45">
        <v>38043.720340011576</v>
      </c>
      <c r="K51" s="44" t="s">
        <v>1802</v>
      </c>
      <c r="M51" s="44" t="s">
        <v>106</v>
      </c>
      <c r="N51" s="46" t="e">
        <f>VLOOKUP(M51,'Spend Export'!$B:$E,4,FALSE)</f>
        <v>#N/A</v>
      </c>
      <c r="O51" s="44" t="s">
        <v>1429</v>
      </c>
      <c r="P51" s="44" t="s">
        <v>1803</v>
      </c>
      <c r="Q51" s="44" t="s">
        <v>1429</v>
      </c>
      <c r="R51" s="44" t="s">
        <v>20</v>
      </c>
      <c r="S51" s="44" t="s">
        <v>19</v>
      </c>
      <c r="T51" s="44" t="s">
        <v>1804</v>
      </c>
      <c r="U51" s="44" t="s">
        <v>1805</v>
      </c>
      <c r="V51" s="44" t="s">
        <v>1806</v>
      </c>
      <c r="W51" s="44" t="s">
        <v>1807</v>
      </c>
      <c r="X51" s="44" t="s">
        <v>1439</v>
      </c>
      <c r="Y51" s="44" t="s">
        <v>1429</v>
      </c>
      <c r="Z51" s="44" t="s">
        <v>1386</v>
      </c>
      <c r="AA51" s="44" t="s">
        <v>1808</v>
      </c>
      <c r="AI51" s="44" t="s">
        <v>1809</v>
      </c>
      <c r="AK51" s="44" t="s">
        <v>1810</v>
      </c>
    </row>
    <row r="52" spans="1:37">
      <c r="B52" s="44" t="s">
        <v>145</v>
      </c>
      <c r="C52" s="44" t="s">
        <v>145</v>
      </c>
      <c r="D52" s="44" t="s">
        <v>1811</v>
      </c>
      <c r="E52" s="44" t="s">
        <v>1652</v>
      </c>
      <c r="F52" s="44" t="s">
        <v>1812</v>
      </c>
      <c r="G52" s="44" t="s">
        <v>1430</v>
      </c>
      <c r="I52" s="45">
        <v>40687.545971643522</v>
      </c>
      <c r="K52" s="44" t="s">
        <v>1813</v>
      </c>
      <c r="M52" s="44" t="s">
        <v>146</v>
      </c>
      <c r="N52" s="46">
        <f>VLOOKUP(M52,'Spend Export'!$B:$E,4,FALSE)</f>
        <v>256267.28999999998</v>
      </c>
      <c r="P52" s="44" t="s">
        <v>1814</v>
      </c>
      <c r="Q52" s="44" t="s">
        <v>1386</v>
      </c>
      <c r="R52" s="44" t="s">
        <v>19</v>
      </c>
      <c r="S52" s="44" t="s">
        <v>19</v>
      </c>
      <c r="T52" s="44" t="s">
        <v>1708</v>
      </c>
      <c r="U52" s="44" t="s">
        <v>1708</v>
      </c>
      <c r="V52" s="44" t="s">
        <v>1815</v>
      </c>
      <c r="W52" s="44" t="s">
        <v>1816</v>
      </c>
      <c r="X52" s="44" t="s">
        <v>1439</v>
      </c>
      <c r="Y52" s="44" t="s">
        <v>1386</v>
      </c>
      <c r="Z52" s="44" t="s">
        <v>1386</v>
      </c>
      <c r="AE52" s="44" t="s">
        <v>1452</v>
      </c>
      <c r="AK52" s="44" t="s">
        <v>146</v>
      </c>
    </row>
    <row r="53" spans="1:37">
      <c r="A53" s="44" t="s">
        <v>1817</v>
      </c>
      <c r="B53" s="44" t="s">
        <v>99</v>
      </c>
      <c r="C53" s="44" t="s">
        <v>99</v>
      </c>
      <c r="D53" s="44" t="s">
        <v>1428</v>
      </c>
      <c r="E53" s="44" t="s">
        <v>1207</v>
      </c>
      <c r="F53" s="44" t="s">
        <v>1818</v>
      </c>
      <c r="G53" s="44" t="s">
        <v>1430</v>
      </c>
      <c r="H53" s="44" t="s">
        <v>1431</v>
      </c>
      <c r="I53" s="45">
        <v>39072.649667013888</v>
      </c>
      <c r="K53" s="44" t="s">
        <v>1819</v>
      </c>
      <c r="M53" s="44" t="s">
        <v>100</v>
      </c>
      <c r="N53" s="46">
        <f>VLOOKUP(M53,'Spend Export'!$B:$E,4,FALSE)</f>
        <v>255766.34999999998</v>
      </c>
      <c r="O53" s="44" t="s">
        <v>1429</v>
      </c>
      <c r="P53" s="44" t="s">
        <v>1820</v>
      </c>
      <c r="Q53" s="44" t="s">
        <v>1386</v>
      </c>
      <c r="R53" s="44" t="s">
        <v>19</v>
      </c>
      <c r="S53" s="44" t="s">
        <v>19</v>
      </c>
      <c r="T53" s="44" t="s">
        <v>1484</v>
      </c>
      <c r="U53" s="44" t="s">
        <v>1484</v>
      </c>
      <c r="V53" s="44" t="s">
        <v>1821</v>
      </c>
      <c r="W53" s="44" t="s">
        <v>1822</v>
      </c>
      <c r="X53" s="44" t="s">
        <v>1450</v>
      </c>
      <c r="Y53" s="44" t="s">
        <v>1429</v>
      </c>
      <c r="Z53" s="44" t="s">
        <v>1386</v>
      </c>
      <c r="AH53" s="44" t="s">
        <v>1488</v>
      </c>
      <c r="AK53" s="44" t="s">
        <v>100</v>
      </c>
    </row>
    <row r="54" spans="1:37">
      <c r="A54" s="44" t="s">
        <v>1823</v>
      </c>
      <c r="B54" s="44" t="s">
        <v>143</v>
      </c>
      <c r="C54" s="44" t="s">
        <v>1824</v>
      </c>
      <c r="D54" s="44" t="s">
        <v>1825</v>
      </c>
      <c r="E54" s="44" t="s">
        <v>1476</v>
      </c>
      <c r="F54" s="44" t="s">
        <v>1429</v>
      </c>
      <c r="G54" s="44" t="s">
        <v>1430</v>
      </c>
      <c r="H54" s="44" t="s">
        <v>1431</v>
      </c>
      <c r="I54" s="45">
        <v>44640.658379201392</v>
      </c>
      <c r="J54" s="44" t="s">
        <v>1756</v>
      </c>
      <c r="K54" s="44" t="s">
        <v>1826</v>
      </c>
      <c r="M54" s="44" t="s">
        <v>144</v>
      </c>
      <c r="N54" s="46" t="e">
        <f>VLOOKUP(M54,'Spend Export'!$B:$E,4,FALSE)</f>
        <v>#N/A</v>
      </c>
      <c r="O54" s="44" t="s">
        <v>1429</v>
      </c>
      <c r="P54" s="44" t="s">
        <v>1429</v>
      </c>
      <c r="Q54" s="44" t="s">
        <v>1429</v>
      </c>
      <c r="R54" s="44" t="s">
        <v>20</v>
      </c>
      <c r="S54" s="44" t="s">
        <v>19</v>
      </c>
      <c r="T54" s="44" t="s">
        <v>1458</v>
      </c>
      <c r="U54" s="44" t="s">
        <v>1458</v>
      </c>
      <c r="V54" s="44" t="s">
        <v>1827</v>
      </c>
      <c r="W54" s="44" t="s">
        <v>1828</v>
      </c>
      <c r="X54" s="44" t="s">
        <v>1439</v>
      </c>
      <c r="Y54" s="44" t="s">
        <v>1429</v>
      </c>
      <c r="Z54" s="44" t="s">
        <v>1429</v>
      </c>
      <c r="AA54" s="44" t="s">
        <v>1761</v>
      </c>
      <c r="AI54" s="44" t="s">
        <v>1763</v>
      </c>
      <c r="AK54" s="44" t="s">
        <v>144</v>
      </c>
    </row>
    <row r="55" spans="1:37">
      <c r="A55" s="44" t="s">
        <v>1829</v>
      </c>
      <c r="B55" s="44" t="s">
        <v>452</v>
      </c>
      <c r="C55" s="44" t="s">
        <v>452</v>
      </c>
      <c r="D55" s="44" t="s">
        <v>1562</v>
      </c>
      <c r="E55" s="44" t="s">
        <v>1207</v>
      </c>
      <c r="F55" s="44" t="s">
        <v>1429</v>
      </c>
      <c r="G55" s="44" t="s">
        <v>1430</v>
      </c>
      <c r="H55" s="44" t="s">
        <v>1431</v>
      </c>
      <c r="I55" s="45">
        <v>40204.557791631945</v>
      </c>
      <c r="K55" s="44" t="s">
        <v>1830</v>
      </c>
      <c r="M55" s="44" t="s">
        <v>453</v>
      </c>
      <c r="N55" s="46" t="e">
        <f>VLOOKUP(M55,'Spend Export'!$B:$E,4,FALSE)</f>
        <v>#N/A</v>
      </c>
      <c r="P55" s="44" t="s">
        <v>1831</v>
      </c>
      <c r="Q55" s="44" t="s">
        <v>1429</v>
      </c>
      <c r="R55" s="44" t="s">
        <v>19</v>
      </c>
      <c r="S55" s="44" t="s">
        <v>19</v>
      </c>
      <c r="T55" s="44" t="s">
        <v>1470</v>
      </c>
      <c r="U55" s="44" t="s">
        <v>1458</v>
      </c>
      <c r="V55" s="44" t="s">
        <v>1832</v>
      </c>
      <c r="W55" s="44" t="s">
        <v>1833</v>
      </c>
      <c r="X55" s="44" t="s">
        <v>1439</v>
      </c>
      <c r="Y55" s="44" t="s">
        <v>1429</v>
      </c>
      <c r="Z55" s="44" t="s">
        <v>1429</v>
      </c>
      <c r="AA55" s="44" t="s">
        <v>1834</v>
      </c>
      <c r="AI55" s="44" t="s">
        <v>1835</v>
      </c>
      <c r="AK55" s="44" t="s">
        <v>453</v>
      </c>
    </row>
    <row r="56" spans="1:37">
      <c r="B56" s="44" t="s">
        <v>60</v>
      </c>
      <c r="C56" s="44" t="s">
        <v>60</v>
      </c>
      <c r="D56" s="44" t="s">
        <v>1428</v>
      </c>
      <c r="E56" s="44" t="s">
        <v>1207</v>
      </c>
      <c r="F56" s="44" t="s">
        <v>1836</v>
      </c>
      <c r="G56" s="44" t="s">
        <v>1430</v>
      </c>
      <c r="I56" s="45">
        <v>37928.591580405089</v>
      </c>
      <c r="K56" s="44" t="s">
        <v>1837</v>
      </c>
      <c r="M56" s="44" t="s">
        <v>61</v>
      </c>
      <c r="N56" s="46">
        <f>VLOOKUP(M56,'Spend Export'!$B:$E,4,FALSE)</f>
        <v>241010.86000000004</v>
      </c>
      <c r="P56" s="44" t="s">
        <v>1838</v>
      </c>
      <c r="Q56" s="44" t="s">
        <v>1429</v>
      </c>
      <c r="R56" s="44" t="s">
        <v>20</v>
      </c>
      <c r="S56" s="44" t="s">
        <v>19</v>
      </c>
      <c r="T56" s="44" t="s">
        <v>1519</v>
      </c>
      <c r="U56" s="44" t="s">
        <v>1519</v>
      </c>
      <c r="V56" s="44" t="s">
        <v>1839</v>
      </c>
      <c r="W56" s="44" t="s">
        <v>1840</v>
      </c>
      <c r="X56" s="44" t="s">
        <v>1439</v>
      </c>
      <c r="Y56" s="44" t="s">
        <v>1429</v>
      </c>
      <c r="Z56" s="44" t="s">
        <v>1429</v>
      </c>
      <c r="AK56" s="44" t="s">
        <v>61</v>
      </c>
    </row>
    <row r="57" spans="1:37">
      <c r="B57" s="44" t="s">
        <v>158</v>
      </c>
      <c r="C57" s="44" t="s">
        <v>158</v>
      </c>
      <c r="D57" s="44" t="s">
        <v>1428</v>
      </c>
      <c r="E57" s="44" t="s">
        <v>1207</v>
      </c>
      <c r="F57" s="44" t="s">
        <v>1841</v>
      </c>
      <c r="G57" s="44" t="s">
        <v>1430</v>
      </c>
      <c r="I57" s="45">
        <v>43620.326342789354</v>
      </c>
      <c r="J57" s="44" t="s">
        <v>1842</v>
      </c>
      <c r="K57" s="44" t="s">
        <v>1843</v>
      </c>
      <c r="M57" s="44" t="s">
        <v>159</v>
      </c>
      <c r="N57" s="46" t="e">
        <f>VLOOKUP(M57,'Spend Export'!$B:$E,4,FALSE)</f>
        <v>#N/A</v>
      </c>
      <c r="P57" s="44" t="s">
        <v>1844</v>
      </c>
      <c r="Q57" s="44" t="s">
        <v>1429</v>
      </c>
      <c r="R57" s="44" t="s">
        <v>20</v>
      </c>
      <c r="S57" s="44" t="s">
        <v>19</v>
      </c>
      <c r="T57" s="44" t="s">
        <v>1845</v>
      </c>
      <c r="U57" s="44" t="s">
        <v>1458</v>
      </c>
      <c r="V57" s="44" t="s">
        <v>1846</v>
      </c>
      <c r="W57" s="44" t="s">
        <v>1847</v>
      </c>
      <c r="X57" s="44" t="s">
        <v>1450</v>
      </c>
      <c r="Y57" s="44" t="s">
        <v>1429</v>
      </c>
      <c r="Z57" s="44" t="s">
        <v>1386</v>
      </c>
      <c r="AH57" s="44" t="s">
        <v>1834</v>
      </c>
      <c r="AI57" s="44" t="s">
        <v>1848</v>
      </c>
      <c r="AK57" s="44" t="s">
        <v>159</v>
      </c>
    </row>
    <row r="58" spans="1:37">
      <c r="B58" s="44" t="s">
        <v>73</v>
      </c>
      <c r="C58" s="44" t="s">
        <v>73</v>
      </c>
      <c r="D58" s="44" t="s">
        <v>1428</v>
      </c>
      <c r="E58" s="44" t="s">
        <v>1207</v>
      </c>
      <c r="F58" s="44" t="s">
        <v>1429</v>
      </c>
      <c r="G58" s="44" t="s">
        <v>1430</v>
      </c>
      <c r="I58" s="45">
        <v>44334.580665856483</v>
      </c>
      <c r="J58" s="44" t="s">
        <v>1849</v>
      </c>
      <c r="K58" s="44" t="s">
        <v>1850</v>
      </c>
      <c r="M58" s="44" t="s">
        <v>74</v>
      </c>
      <c r="N58" s="46" t="e">
        <f>VLOOKUP(M58,'Spend Export'!$B:$E,4,FALSE)</f>
        <v>#N/A</v>
      </c>
      <c r="P58" s="44" t="s">
        <v>1851</v>
      </c>
      <c r="Q58" s="44" t="s">
        <v>1429</v>
      </c>
      <c r="R58" s="44" t="s">
        <v>20</v>
      </c>
      <c r="S58" s="44" t="s">
        <v>19</v>
      </c>
      <c r="T58" s="44" t="s">
        <v>1458</v>
      </c>
      <c r="U58" s="44" t="s">
        <v>1458</v>
      </c>
      <c r="V58" s="44" t="s">
        <v>1852</v>
      </c>
      <c r="W58" s="44" t="s">
        <v>1853</v>
      </c>
      <c r="X58" s="44" t="s">
        <v>1450</v>
      </c>
      <c r="Y58" s="44" t="s">
        <v>1429</v>
      </c>
      <c r="Z58" s="44" t="s">
        <v>1386</v>
      </c>
      <c r="AA58" s="44" t="s">
        <v>1854</v>
      </c>
      <c r="AI58" s="44" t="s">
        <v>1855</v>
      </c>
      <c r="AK58" s="44" t="s">
        <v>74</v>
      </c>
    </row>
    <row r="59" spans="1:37">
      <c r="B59" s="44" t="s">
        <v>164</v>
      </c>
      <c r="C59" s="44" t="s">
        <v>164</v>
      </c>
      <c r="D59" s="44" t="s">
        <v>1466</v>
      </c>
      <c r="E59" s="44" t="s">
        <v>1207</v>
      </c>
      <c r="F59" s="44" t="s">
        <v>1429</v>
      </c>
      <c r="G59" s="44" t="s">
        <v>1430</v>
      </c>
      <c r="I59" s="45">
        <v>44573.607397025466</v>
      </c>
      <c r="J59" s="44" t="s">
        <v>1492</v>
      </c>
      <c r="K59" s="44" t="s">
        <v>1856</v>
      </c>
      <c r="M59" s="44" t="s">
        <v>165</v>
      </c>
      <c r="N59" s="46" t="e">
        <f>VLOOKUP(M59,'Spend Export'!$B:$E,4,FALSE)</f>
        <v>#N/A</v>
      </c>
      <c r="O59" s="44" t="s">
        <v>1429</v>
      </c>
      <c r="P59" s="44" t="s">
        <v>1857</v>
      </c>
      <c r="Q59" s="44" t="s">
        <v>1429</v>
      </c>
      <c r="R59" s="44" t="s">
        <v>20</v>
      </c>
      <c r="S59" s="44" t="s">
        <v>19</v>
      </c>
      <c r="T59" s="44" t="s">
        <v>1458</v>
      </c>
      <c r="U59" s="44" t="s">
        <v>1458</v>
      </c>
      <c r="V59" s="44" t="s">
        <v>1858</v>
      </c>
      <c r="W59" s="44" t="s">
        <v>1859</v>
      </c>
      <c r="X59" s="44" t="s">
        <v>1439</v>
      </c>
      <c r="Y59" s="44" t="s">
        <v>1429</v>
      </c>
      <c r="Z59" s="44" t="s">
        <v>1386</v>
      </c>
      <c r="AA59" s="44" t="s">
        <v>1860</v>
      </c>
      <c r="AI59" s="44" t="s">
        <v>1861</v>
      </c>
      <c r="AK59" s="44" t="s">
        <v>165</v>
      </c>
    </row>
    <row r="60" spans="1:37">
      <c r="B60" s="44" t="s">
        <v>335</v>
      </c>
      <c r="C60" s="44" t="s">
        <v>335</v>
      </c>
      <c r="D60" s="44" t="s">
        <v>1443</v>
      </c>
      <c r="E60" s="44" t="s">
        <v>1207</v>
      </c>
      <c r="F60" s="44" t="s">
        <v>1862</v>
      </c>
      <c r="G60" s="44" t="s">
        <v>1430</v>
      </c>
      <c r="I60" s="45">
        <v>44412.542590937497</v>
      </c>
      <c r="J60" s="44" t="s">
        <v>1863</v>
      </c>
      <c r="K60" s="44" t="s">
        <v>1864</v>
      </c>
      <c r="M60" s="44" t="s">
        <v>336</v>
      </c>
      <c r="N60" s="46">
        <f>VLOOKUP(M60,'Spend Export'!$B:$E,4,FALSE)</f>
        <v>227200</v>
      </c>
      <c r="O60" s="44" t="s">
        <v>1429</v>
      </c>
      <c r="P60" s="44" t="s">
        <v>1865</v>
      </c>
      <c r="Q60" s="44" t="s">
        <v>1429</v>
      </c>
      <c r="R60" s="44" t="s">
        <v>20</v>
      </c>
      <c r="S60" s="44" t="s">
        <v>19</v>
      </c>
      <c r="T60" s="44" t="s">
        <v>1484</v>
      </c>
      <c r="U60" s="44" t="s">
        <v>1484</v>
      </c>
      <c r="V60" s="44" t="s">
        <v>1866</v>
      </c>
      <c r="W60" s="44" t="s">
        <v>1862</v>
      </c>
      <c r="X60" s="44" t="s">
        <v>1450</v>
      </c>
      <c r="Y60" s="44" t="s">
        <v>1386</v>
      </c>
      <c r="Z60" s="44" t="s">
        <v>1429</v>
      </c>
      <c r="AG60" s="44" t="s">
        <v>1867</v>
      </c>
      <c r="AI60" s="44" t="s">
        <v>1868</v>
      </c>
      <c r="AK60" s="44" t="s">
        <v>1869</v>
      </c>
    </row>
    <row r="61" spans="1:37">
      <c r="B61" s="44" t="s">
        <v>221</v>
      </c>
      <c r="C61" s="44" t="s">
        <v>221</v>
      </c>
      <c r="D61" s="44" t="s">
        <v>1466</v>
      </c>
      <c r="E61" s="44" t="s">
        <v>1207</v>
      </c>
      <c r="F61" s="44" t="s">
        <v>1429</v>
      </c>
      <c r="G61" s="44" t="s">
        <v>1430</v>
      </c>
      <c r="I61" s="45">
        <v>43505.528264270833</v>
      </c>
      <c r="J61" s="44" t="s">
        <v>1492</v>
      </c>
      <c r="K61" s="44" t="s">
        <v>1870</v>
      </c>
      <c r="M61" s="44" t="s">
        <v>222</v>
      </c>
      <c r="N61" s="46" t="e">
        <f>VLOOKUP(M61,'Spend Export'!$B:$E,4,FALSE)</f>
        <v>#N/A</v>
      </c>
      <c r="P61" s="44" t="s">
        <v>1871</v>
      </c>
      <c r="Q61" s="44" t="s">
        <v>1429</v>
      </c>
      <c r="R61" s="44" t="s">
        <v>20</v>
      </c>
      <c r="S61" s="44" t="s">
        <v>19</v>
      </c>
      <c r="T61" s="44" t="s">
        <v>1458</v>
      </c>
      <c r="U61" s="44" t="s">
        <v>1458</v>
      </c>
      <c r="V61" s="44" t="s">
        <v>1872</v>
      </c>
      <c r="W61" s="44" t="s">
        <v>1873</v>
      </c>
      <c r="X61" s="44" t="s">
        <v>1450</v>
      </c>
      <c r="Y61" s="44" t="s">
        <v>1429</v>
      </c>
      <c r="Z61" s="44" t="s">
        <v>1386</v>
      </c>
      <c r="AA61" s="44" t="s">
        <v>1874</v>
      </c>
      <c r="AI61" s="44" t="s">
        <v>1875</v>
      </c>
      <c r="AK61" s="44" t="s">
        <v>222</v>
      </c>
    </row>
    <row r="62" spans="1:37">
      <c r="B62" s="44" t="s">
        <v>182</v>
      </c>
      <c r="C62" s="44" t="s">
        <v>182</v>
      </c>
      <c r="D62" s="44" t="s">
        <v>1428</v>
      </c>
      <c r="E62" s="44" t="s">
        <v>1207</v>
      </c>
      <c r="F62" s="44" t="s">
        <v>1429</v>
      </c>
      <c r="G62" s="44" t="s">
        <v>1430</v>
      </c>
      <c r="I62" s="45">
        <v>37918.570909756942</v>
      </c>
      <c r="K62" s="44" t="s">
        <v>1876</v>
      </c>
      <c r="M62" s="44" t="s">
        <v>183</v>
      </c>
      <c r="N62" s="46">
        <f>VLOOKUP(M62,'Spend Export'!$B:$E,4,FALSE)</f>
        <v>222334.07999999996</v>
      </c>
      <c r="P62" s="44" t="s">
        <v>1877</v>
      </c>
      <c r="Q62" s="44" t="s">
        <v>1429</v>
      </c>
      <c r="R62" s="44" t="s">
        <v>20</v>
      </c>
      <c r="S62" s="44" t="s">
        <v>19</v>
      </c>
      <c r="T62" s="44" t="s">
        <v>1519</v>
      </c>
      <c r="U62" s="44" t="s">
        <v>1519</v>
      </c>
      <c r="X62" s="44" t="s">
        <v>1439</v>
      </c>
      <c r="Y62" s="44" t="s">
        <v>1429</v>
      </c>
      <c r="Z62" s="44" t="s">
        <v>1429</v>
      </c>
      <c r="AK62" s="44" t="s">
        <v>183</v>
      </c>
    </row>
    <row r="63" spans="1:37">
      <c r="B63" s="44" t="s">
        <v>356</v>
      </c>
      <c r="C63" s="44" t="s">
        <v>356</v>
      </c>
      <c r="D63" s="44" t="s">
        <v>1428</v>
      </c>
      <c r="E63" s="44" t="s">
        <v>1207</v>
      </c>
      <c r="F63" s="44" t="s">
        <v>1429</v>
      </c>
      <c r="G63" s="44" t="s">
        <v>1430</v>
      </c>
      <c r="I63" s="45">
        <v>37918.660913344909</v>
      </c>
      <c r="K63" s="44" t="s">
        <v>1878</v>
      </c>
      <c r="M63" s="44" t="s">
        <v>357</v>
      </c>
      <c r="N63" s="46">
        <f>VLOOKUP(M63,'Spend Export'!$B:$E,4,FALSE)</f>
        <v>220586.65000000002</v>
      </c>
      <c r="P63" s="44" t="s">
        <v>1879</v>
      </c>
      <c r="Q63" s="44" t="s">
        <v>1429</v>
      </c>
      <c r="R63" s="44" t="s">
        <v>20</v>
      </c>
      <c r="S63" s="44" t="s">
        <v>19</v>
      </c>
      <c r="T63" s="44" t="s">
        <v>1502</v>
      </c>
      <c r="U63" s="44" t="s">
        <v>1502</v>
      </c>
      <c r="V63" s="44" t="s">
        <v>1880</v>
      </c>
      <c r="W63" s="44" t="s">
        <v>1881</v>
      </c>
      <c r="X63" s="44" t="s">
        <v>1439</v>
      </c>
      <c r="Y63" s="44" t="s">
        <v>1429</v>
      </c>
      <c r="Z63" s="44" t="s">
        <v>1429</v>
      </c>
      <c r="AH63" s="44" t="s">
        <v>1503</v>
      </c>
      <c r="AK63" s="44" t="s">
        <v>357</v>
      </c>
    </row>
    <row r="64" spans="1:37">
      <c r="B64" s="44" t="s">
        <v>333</v>
      </c>
      <c r="C64" s="44" t="s">
        <v>333</v>
      </c>
      <c r="D64" s="44" t="s">
        <v>1882</v>
      </c>
      <c r="E64" s="44" t="s">
        <v>1883</v>
      </c>
      <c r="F64" s="44" t="s">
        <v>1429</v>
      </c>
      <c r="G64" s="44" t="s">
        <v>1430</v>
      </c>
      <c r="I64" s="45">
        <v>44571.530572418982</v>
      </c>
      <c r="J64" s="44" t="s">
        <v>1863</v>
      </c>
      <c r="K64" s="44" t="s">
        <v>1884</v>
      </c>
      <c r="M64" s="44" t="s">
        <v>334</v>
      </c>
      <c r="N64" s="46" t="e">
        <f>VLOOKUP(M64,'Spend Export'!$B:$E,4,FALSE)</f>
        <v>#N/A</v>
      </c>
      <c r="O64" s="44" t="s">
        <v>1429</v>
      </c>
      <c r="P64" s="44" t="s">
        <v>1885</v>
      </c>
      <c r="Q64" s="44" t="s">
        <v>1429</v>
      </c>
      <c r="R64" s="44" t="s">
        <v>20</v>
      </c>
      <c r="S64" s="44" t="s">
        <v>19</v>
      </c>
      <c r="T64" s="44" t="s">
        <v>1470</v>
      </c>
      <c r="U64" s="44" t="s">
        <v>1458</v>
      </c>
      <c r="V64" s="44" t="s">
        <v>1886</v>
      </c>
      <c r="W64" s="44" t="s">
        <v>1887</v>
      </c>
      <c r="X64" s="44" t="s">
        <v>1461</v>
      </c>
      <c r="Y64" s="44" t="s">
        <v>1386</v>
      </c>
      <c r="Z64" s="44" t="s">
        <v>1429</v>
      </c>
      <c r="AA64" s="44" t="s">
        <v>1863</v>
      </c>
      <c r="AG64" s="44" t="s">
        <v>1888</v>
      </c>
      <c r="AI64" s="44" t="s">
        <v>1889</v>
      </c>
      <c r="AK64" s="44" t="s">
        <v>334</v>
      </c>
    </row>
    <row r="65" spans="1:37">
      <c r="B65" s="44" t="s">
        <v>312</v>
      </c>
      <c r="C65" s="44" t="s">
        <v>312</v>
      </c>
      <c r="D65" s="44" t="s">
        <v>1890</v>
      </c>
      <c r="E65" s="44" t="s">
        <v>1207</v>
      </c>
      <c r="F65" s="44" t="s">
        <v>1429</v>
      </c>
      <c r="G65" s="44" t="s">
        <v>1430</v>
      </c>
      <c r="I65" s="45">
        <v>37918.676890775459</v>
      </c>
      <c r="K65" s="44" t="s">
        <v>1891</v>
      </c>
      <c r="L65" s="44" t="s">
        <v>1892</v>
      </c>
      <c r="M65" s="44" t="s">
        <v>313</v>
      </c>
      <c r="N65" s="46" t="e">
        <f>VLOOKUP(M65,'Spend Export'!$B:$E,4,FALSE)</f>
        <v>#N/A</v>
      </c>
      <c r="O65" s="44" t="s">
        <v>1429</v>
      </c>
      <c r="P65" s="44" t="s">
        <v>1893</v>
      </c>
      <c r="Q65" s="44" t="s">
        <v>1429</v>
      </c>
      <c r="R65" s="44" t="s">
        <v>20</v>
      </c>
      <c r="S65" s="44" t="s">
        <v>19</v>
      </c>
      <c r="T65" s="44" t="s">
        <v>1458</v>
      </c>
      <c r="U65" s="44" t="s">
        <v>1458</v>
      </c>
      <c r="V65" s="44" t="s">
        <v>1894</v>
      </c>
      <c r="W65" s="44" t="s">
        <v>1895</v>
      </c>
      <c r="X65" s="44" t="s">
        <v>1461</v>
      </c>
      <c r="Y65" s="44" t="s">
        <v>1429</v>
      </c>
      <c r="Z65" s="44" t="s">
        <v>1429</v>
      </c>
      <c r="AK65" s="44" t="s">
        <v>313</v>
      </c>
    </row>
    <row r="66" spans="1:37">
      <c r="B66" s="44" t="s">
        <v>308</v>
      </c>
      <c r="C66" s="44" t="s">
        <v>308</v>
      </c>
      <c r="D66" s="44" t="s">
        <v>1896</v>
      </c>
      <c r="E66" s="44" t="s">
        <v>1652</v>
      </c>
      <c r="F66" s="44" t="s">
        <v>1429</v>
      </c>
      <c r="G66" s="44" t="s">
        <v>1430</v>
      </c>
      <c r="I66" s="45">
        <v>41808.361392511571</v>
      </c>
      <c r="K66" s="44" t="s">
        <v>1897</v>
      </c>
      <c r="M66" s="44" t="s">
        <v>309</v>
      </c>
      <c r="N66" s="46" t="e">
        <f>VLOOKUP(M66,'Spend Export'!$B:$E,4,FALSE)</f>
        <v>#N/A</v>
      </c>
      <c r="P66" s="44" t="s">
        <v>1898</v>
      </c>
      <c r="Q66" s="44" t="s">
        <v>1429</v>
      </c>
      <c r="R66" s="44" t="s">
        <v>20</v>
      </c>
      <c r="S66" s="44" t="s">
        <v>19</v>
      </c>
      <c r="T66" s="44" t="s">
        <v>1458</v>
      </c>
      <c r="U66" s="44" t="s">
        <v>1458</v>
      </c>
      <c r="V66" s="44" t="s">
        <v>1899</v>
      </c>
      <c r="W66" s="44" t="s">
        <v>1900</v>
      </c>
      <c r="X66" s="44" t="s">
        <v>1439</v>
      </c>
      <c r="Y66" s="44" t="s">
        <v>1429</v>
      </c>
      <c r="Z66" s="44" t="s">
        <v>1429</v>
      </c>
      <c r="AK66" s="44" t="s">
        <v>309</v>
      </c>
    </row>
    <row r="67" spans="1:37">
      <c r="A67" s="44" t="s">
        <v>266</v>
      </c>
      <c r="B67" s="44" t="s">
        <v>266</v>
      </c>
      <c r="C67" s="44" t="s">
        <v>266</v>
      </c>
      <c r="D67" s="44" t="s">
        <v>1769</v>
      </c>
      <c r="E67" s="44" t="s">
        <v>1207</v>
      </c>
      <c r="F67" s="44" t="s">
        <v>1429</v>
      </c>
      <c r="G67" s="44" t="s">
        <v>1430</v>
      </c>
      <c r="H67" s="44" t="s">
        <v>1431</v>
      </c>
      <c r="I67" s="45">
        <v>37918.952910798609</v>
      </c>
      <c r="K67" s="44" t="s">
        <v>1901</v>
      </c>
      <c r="L67" s="44" t="s">
        <v>1902</v>
      </c>
      <c r="M67" s="44" t="s">
        <v>267</v>
      </c>
      <c r="N67" s="46">
        <f>VLOOKUP(M67,'Spend Export'!$B:$E,4,FALSE)</f>
        <v>212402.74</v>
      </c>
      <c r="P67" s="44" t="s">
        <v>1903</v>
      </c>
      <c r="Q67" s="44" t="s">
        <v>1429</v>
      </c>
      <c r="R67" s="44" t="s">
        <v>19</v>
      </c>
      <c r="S67" s="44" t="s">
        <v>19</v>
      </c>
      <c r="T67" s="44" t="s">
        <v>1904</v>
      </c>
      <c r="U67" s="44" t="s">
        <v>1708</v>
      </c>
      <c r="V67" s="44" t="s">
        <v>1905</v>
      </c>
      <c r="W67" s="44" t="s">
        <v>1906</v>
      </c>
      <c r="X67" s="44" t="s">
        <v>1584</v>
      </c>
      <c r="Y67" s="44" t="s">
        <v>1386</v>
      </c>
      <c r="Z67" s="44" t="s">
        <v>1386</v>
      </c>
      <c r="AG67" s="44" t="s">
        <v>1907</v>
      </c>
      <c r="AI67" s="44" t="s">
        <v>1908</v>
      </c>
      <c r="AK67" s="44" t="s">
        <v>267</v>
      </c>
    </row>
    <row r="68" spans="1:37">
      <c r="B68" s="44" t="s">
        <v>341</v>
      </c>
      <c r="C68" s="44" t="s">
        <v>341</v>
      </c>
      <c r="D68" s="44" t="s">
        <v>1909</v>
      </c>
      <c r="E68" s="44" t="s">
        <v>1910</v>
      </c>
      <c r="F68" s="44" t="s">
        <v>1911</v>
      </c>
      <c r="G68" s="44" t="s">
        <v>1430</v>
      </c>
      <c r="I68" s="45">
        <v>43474.71505806713</v>
      </c>
      <c r="J68" s="44" t="s">
        <v>1765</v>
      </c>
      <c r="K68" s="44" t="s">
        <v>1912</v>
      </c>
      <c r="M68" s="44" t="s">
        <v>342</v>
      </c>
      <c r="N68" s="46" t="e">
        <f>VLOOKUP(M68,'Spend Export'!$B:$E,4,FALSE)</f>
        <v>#N/A</v>
      </c>
      <c r="O68" s="44" t="s">
        <v>1429</v>
      </c>
      <c r="P68" s="44" t="s">
        <v>1913</v>
      </c>
      <c r="Q68" s="44" t="s">
        <v>1429</v>
      </c>
      <c r="R68" s="44" t="s">
        <v>20</v>
      </c>
      <c r="S68" s="44" t="s">
        <v>19</v>
      </c>
      <c r="T68" s="44" t="s">
        <v>1458</v>
      </c>
      <c r="U68" s="44" t="s">
        <v>1458</v>
      </c>
      <c r="V68" s="44" t="s">
        <v>341</v>
      </c>
      <c r="W68" s="44" t="s">
        <v>1914</v>
      </c>
      <c r="X68" s="44" t="s">
        <v>1584</v>
      </c>
      <c r="Y68" s="44" t="s">
        <v>1386</v>
      </c>
      <c r="Z68" s="44" t="s">
        <v>1386</v>
      </c>
      <c r="AA68" s="44" t="s">
        <v>1915</v>
      </c>
      <c r="AI68" s="44" t="s">
        <v>1916</v>
      </c>
      <c r="AK68" s="44" t="s">
        <v>1917</v>
      </c>
    </row>
    <row r="69" spans="1:37">
      <c r="B69" s="44" t="s">
        <v>450</v>
      </c>
      <c r="C69" s="44" t="s">
        <v>450</v>
      </c>
      <c r="D69" s="44" t="s">
        <v>1428</v>
      </c>
      <c r="E69" s="44" t="s">
        <v>1207</v>
      </c>
      <c r="F69" s="44" t="s">
        <v>1429</v>
      </c>
      <c r="G69" s="44" t="s">
        <v>1430</v>
      </c>
      <c r="I69" s="45">
        <v>44936.354813888887</v>
      </c>
      <c r="J69" s="44" t="s">
        <v>1687</v>
      </c>
      <c r="K69" s="44" t="s">
        <v>1918</v>
      </c>
      <c r="M69" s="44" t="s">
        <v>451</v>
      </c>
      <c r="N69" s="46" t="e">
        <f>VLOOKUP(M69,'Spend Export'!$B:$E,4,FALSE)</f>
        <v>#N/A</v>
      </c>
      <c r="O69" s="44" t="s">
        <v>1429</v>
      </c>
      <c r="P69" s="44" t="s">
        <v>1919</v>
      </c>
      <c r="Q69" s="44" t="s">
        <v>1429</v>
      </c>
      <c r="R69" s="44" t="s">
        <v>20</v>
      </c>
      <c r="S69" s="44" t="s">
        <v>19</v>
      </c>
      <c r="T69" s="44" t="s">
        <v>1470</v>
      </c>
      <c r="U69" s="44" t="s">
        <v>1458</v>
      </c>
      <c r="V69" s="44" t="s">
        <v>1920</v>
      </c>
      <c r="W69" s="44" t="s">
        <v>1921</v>
      </c>
      <c r="X69" s="44" t="s">
        <v>1461</v>
      </c>
      <c r="Y69" s="44" t="s">
        <v>1429</v>
      </c>
      <c r="Z69" s="44" t="s">
        <v>1429</v>
      </c>
      <c r="AA69" s="44" t="s">
        <v>1922</v>
      </c>
      <c r="AI69" s="44" t="s">
        <v>1923</v>
      </c>
      <c r="AK69" s="44" t="s">
        <v>451</v>
      </c>
    </row>
    <row r="70" spans="1:37">
      <c r="B70" s="44" t="s">
        <v>231</v>
      </c>
      <c r="C70" s="44" t="s">
        <v>231</v>
      </c>
      <c r="D70" s="44" t="s">
        <v>1924</v>
      </c>
      <c r="E70" s="44" t="s">
        <v>1925</v>
      </c>
      <c r="F70" s="44" t="s">
        <v>1429</v>
      </c>
      <c r="G70" s="44" t="s">
        <v>1430</v>
      </c>
      <c r="I70" s="45">
        <v>44617.393583136574</v>
      </c>
      <c r="J70" s="44" t="s">
        <v>1926</v>
      </c>
      <c r="K70" s="44" t="s">
        <v>1927</v>
      </c>
      <c r="M70" s="44" t="s">
        <v>232</v>
      </c>
      <c r="N70" s="46">
        <f>VLOOKUP(M70,'Spend Export'!$B:$E,4,FALSE)</f>
        <v>205741.39</v>
      </c>
      <c r="O70" s="44" t="s">
        <v>1429</v>
      </c>
      <c r="P70" s="44" t="s">
        <v>1928</v>
      </c>
      <c r="Q70" s="44" t="s">
        <v>1429</v>
      </c>
      <c r="R70" s="44" t="s">
        <v>19</v>
      </c>
      <c r="S70" s="44" t="s">
        <v>19</v>
      </c>
      <c r="T70" s="44" t="s">
        <v>1484</v>
      </c>
      <c r="U70" s="44" t="s">
        <v>1484</v>
      </c>
      <c r="V70" s="44" t="s">
        <v>1929</v>
      </c>
      <c r="W70" s="44" t="s">
        <v>1930</v>
      </c>
      <c r="X70" s="44" t="s">
        <v>1461</v>
      </c>
      <c r="Y70" s="44" t="s">
        <v>1386</v>
      </c>
      <c r="Z70" s="44" t="s">
        <v>1429</v>
      </c>
      <c r="AB70" s="44" t="s">
        <v>1931</v>
      </c>
      <c r="AI70" s="44" t="s">
        <v>1932</v>
      </c>
      <c r="AK70" s="44" t="s">
        <v>232</v>
      </c>
    </row>
    <row r="71" spans="1:37">
      <c r="B71" s="44" t="s">
        <v>388</v>
      </c>
      <c r="C71" s="44" t="s">
        <v>388</v>
      </c>
      <c r="D71" s="44" t="s">
        <v>1933</v>
      </c>
      <c r="E71" s="44" t="s">
        <v>1207</v>
      </c>
      <c r="F71" s="44" t="s">
        <v>1934</v>
      </c>
      <c r="G71" s="44" t="s">
        <v>1430</v>
      </c>
      <c r="I71" s="45">
        <v>41501.539656863424</v>
      </c>
      <c r="K71" s="44" t="s">
        <v>1935</v>
      </c>
      <c r="M71" s="44" t="s">
        <v>389</v>
      </c>
      <c r="N71" s="46" t="e">
        <f>VLOOKUP(M71,'Spend Export'!$B:$E,4,FALSE)</f>
        <v>#N/A</v>
      </c>
      <c r="P71" s="44" t="s">
        <v>1936</v>
      </c>
      <c r="Q71" s="44" t="s">
        <v>1429</v>
      </c>
      <c r="R71" s="44" t="s">
        <v>20</v>
      </c>
      <c r="S71" s="44" t="s">
        <v>19</v>
      </c>
      <c r="T71" s="44" t="s">
        <v>1458</v>
      </c>
      <c r="U71" s="44" t="s">
        <v>1458</v>
      </c>
      <c r="V71" s="44" t="s">
        <v>1937</v>
      </c>
      <c r="W71" s="44" t="s">
        <v>1938</v>
      </c>
      <c r="X71" s="44" t="s">
        <v>1439</v>
      </c>
      <c r="Y71" s="44" t="s">
        <v>1386</v>
      </c>
      <c r="Z71" s="44" t="s">
        <v>1429</v>
      </c>
      <c r="AA71" s="44" t="s">
        <v>1939</v>
      </c>
      <c r="AK71" s="44" t="s">
        <v>389</v>
      </c>
    </row>
    <row r="72" spans="1:37">
      <c r="B72" s="44" t="s">
        <v>946</v>
      </c>
      <c r="C72" s="44" t="s">
        <v>946</v>
      </c>
      <c r="D72" s="44" t="s">
        <v>1428</v>
      </c>
      <c r="E72" s="44" t="s">
        <v>1207</v>
      </c>
      <c r="F72" s="44" t="s">
        <v>1429</v>
      </c>
      <c r="G72" s="44" t="s">
        <v>1430</v>
      </c>
      <c r="I72" s="45">
        <v>44685.644304710651</v>
      </c>
      <c r="J72" s="44" t="s">
        <v>1687</v>
      </c>
      <c r="K72" s="44" t="s">
        <v>1940</v>
      </c>
      <c r="M72" s="44" t="s">
        <v>947</v>
      </c>
      <c r="N72" s="46" t="e">
        <f>VLOOKUP(M72,'Spend Export'!$B:$E,4,FALSE)</f>
        <v>#N/A</v>
      </c>
      <c r="O72" s="44" t="s">
        <v>1429</v>
      </c>
      <c r="P72" s="44" t="s">
        <v>1941</v>
      </c>
      <c r="Q72" s="44" t="s">
        <v>1429</v>
      </c>
      <c r="R72" s="44" t="s">
        <v>20</v>
      </c>
      <c r="S72" s="44" t="s">
        <v>19</v>
      </c>
      <c r="T72" s="44" t="s">
        <v>1458</v>
      </c>
      <c r="U72" s="44" t="s">
        <v>1458</v>
      </c>
      <c r="V72" s="44" t="s">
        <v>1942</v>
      </c>
      <c r="W72" s="44" t="s">
        <v>1943</v>
      </c>
      <c r="X72" s="44" t="s">
        <v>1450</v>
      </c>
      <c r="Y72" s="44" t="s">
        <v>1386</v>
      </c>
      <c r="Z72" s="44" t="s">
        <v>1386</v>
      </c>
      <c r="AA72" s="44" t="s">
        <v>1944</v>
      </c>
      <c r="AI72" s="44" t="s">
        <v>1945</v>
      </c>
      <c r="AK72" s="44" t="s">
        <v>947</v>
      </c>
    </row>
    <row r="73" spans="1:37">
      <c r="B73" s="44" t="s">
        <v>446</v>
      </c>
      <c r="C73" s="44" t="s">
        <v>446</v>
      </c>
      <c r="D73" s="44" t="s">
        <v>1428</v>
      </c>
      <c r="E73" s="44" t="s">
        <v>1207</v>
      </c>
      <c r="F73" s="44" t="s">
        <v>1429</v>
      </c>
      <c r="G73" s="44" t="s">
        <v>1430</v>
      </c>
      <c r="I73" s="45">
        <v>37928.618823263889</v>
      </c>
      <c r="K73" s="44" t="s">
        <v>1946</v>
      </c>
      <c r="M73" s="44" t="s">
        <v>447</v>
      </c>
      <c r="N73" s="46">
        <f>VLOOKUP(M73,'Spend Export'!$B:$E,4,FALSE)</f>
        <v>199644.11</v>
      </c>
      <c r="P73" s="44" t="s">
        <v>1947</v>
      </c>
      <c r="Q73" s="44" t="s">
        <v>1429</v>
      </c>
      <c r="R73" s="44" t="s">
        <v>20</v>
      </c>
      <c r="S73" s="44" t="s">
        <v>19</v>
      </c>
      <c r="T73" s="44" t="s">
        <v>1556</v>
      </c>
      <c r="U73" s="44" t="s">
        <v>1556</v>
      </c>
      <c r="V73" s="44" t="s">
        <v>1948</v>
      </c>
      <c r="W73" s="44" t="s">
        <v>1949</v>
      </c>
      <c r="X73" s="44" t="s">
        <v>1461</v>
      </c>
      <c r="Y73" s="44" t="s">
        <v>1429</v>
      </c>
      <c r="Z73" s="44" t="s">
        <v>1386</v>
      </c>
      <c r="AK73" s="44" t="s">
        <v>447</v>
      </c>
    </row>
    <row r="74" spans="1:37">
      <c r="B74" s="44" t="s">
        <v>546</v>
      </c>
      <c r="C74" s="44" t="s">
        <v>546</v>
      </c>
      <c r="D74" s="44" t="s">
        <v>1950</v>
      </c>
      <c r="E74" s="44" t="s">
        <v>1572</v>
      </c>
      <c r="F74" s="44" t="s">
        <v>1429</v>
      </c>
      <c r="G74" s="44" t="s">
        <v>1430</v>
      </c>
      <c r="I74" s="45">
        <v>39469.970274305553</v>
      </c>
      <c r="K74" s="44" t="s">
        <v>1951</v>
      </c>
      <c r="M74" s="44" t="s">
        <v>547</v>
      </c>
      <c r="N74" s="46">
        <f>VLOOKUP(M74,'Spend Export'!$B:$E,4,FALSE)</f>
        <v>196242.66</v>
      </c>
      <c r="P74" s="44" t="s">
        <v>1429</v>
      </c>
      <c r="Q74" s="44" t="s">
        <v>1429</v>
      </c>
      <c r="R74" s="44" t="s">
        <v>20</v>
      </c>
      <c r="S74" s="44" t="s">
        <v>19</v>
      </c>
      <c r="T74" s="44" t="s">
        <v>1556</v>
      </c>
      <c r="U74" s="44" t="s">
        <v>1556</v>
      </c>
      <c r="X74" s="44" t="s">
        <v>1461</v>
      </c>
      <c r="Y74" s="44" t="s">
        <v>1429</v>
      </c>
      <c r="Z74" s="44" t="s">
        <v>1429</v>
      </c>
      <c r="AI74" s="44" t="s">
        <v>1952</v>
      </c>
      <c r="AK74" s="44" t="s">
        <v>547</v>
      </c>
    </row>
    <row r="75" spans="1:37">
      <c r="B75" s="44" t="s">
        <v>45</v>
      </c>
      <c r="C75" s="44" t="s">
        <v>45</v>
      </c>
      <c r="D75" s="44" t="s">
        <v>1428</v>
      </c>
      <c r="E75" s="44" t="s">
        <v>1207</v>
      </c>
      <c r="F75" s="44" t="s">
        <v>1953</v>
      </c>
      <c r="G75" s="44" t="s">
        <v>1430</v>
      </c>
      <c r="I75" s="45">
        <v>43080.529318252316</v>
      </c>
      <c r="J75" s="44" t="s">
        <v>1954</v>
      </c>
      <c r="K75" s="44" t="s">
        <v>1955</v>
      </c>
      <c r="M75" s="44" t="s">
        <v>46</v>
      </c>
      <c r="N75" s="46" t="e">
        <f>VLOOKUP(M75,'Spend Export'!$B:$E,4,FALSE)</f>
        <v>#N/A</v>
      </c>
      <c r="P75" s="44" t="s">
        <v>1956</v>
      </c>
      <c r="Q75" s="44" t="s">
        <v>1429</v>
      </c>
      <c r="R75" s="44" t="s">
        <v>20</v>
      </c>
      <c r="S75" s="44" t="s">
        <v>19</v>
      </c>
      <c r="T75" s="44" t="s">
        <v>1957</v>
      </c>
      <c r="U75" s="44" t="s">
        <v>1548</v>
      </c>
      <c r="V75" s="44" t="s">
        <v>1958</v>
      </c>
      <c r="W75" s="44" t="s">
        <v>1959</v>
      </c>
      <c r="X75" s="44" t="s">
        <v>1461</v>
      </c>
      <c r="Y75" s="44" t="s">
        <v>1429</v>
      </c>
      <c r="Z75" s="44" t="s">
        <v>1386</v>
      </c>
      <c r="AA75" s="44" t="s">
        <v>1960</v>
      </c>
      <c r="AI75" s="44" t="s">
        <v>1961</v>
      </c>
      <c r="AK75" s="44" t="s">
        <v>46</v>
      </c>
    </row>
    <row r="76" spans="1:37">
      <c r="B76" s="44" t="s">
        <v>87</v>
      </c>
      <c r="C76" s="44" t="s">
        <v>87</v>
      </c>
      <c r="D76" s="44" t="s">
        <v>1428</v>
      </c>
      <c r="E76" s="44" t="s">
        <v>1207</v>
      </c>
      <c r="F76" s="44" t="s">
        <v>1429</v>
      </c>
      <c r="G76" s="44" t="s">
        <v>1430</v>
      </c>
      <c r="I76" s="45">
        <v>40227.510903703704</v>
      </c>
      <c r="K76" s="44" t="s">
        <v>1962</v>
      </c>
      <c r="M76" s="44" t="s">
        <v>88</v>
      </c>
      <c r="N76" s="46">
        <f>VLOOKUP(M76,'Spend Export'!$B:$E,4,FALSE)</f>
        <v>188141.16000000003</v>
      </c>
      <c r="O76" s="44" t="s">
        <v>1429</v>
      </c>
      <c r="P76" s="44" t="s">
        <v>1963</v>
      </c>
      <c r="Q76" s="44" t="s">
        <v>1386</v>
      </c>
      <c r="R76" s="44" t="s">
        <v>20</v>
      </c>
      <c r="S76" s="44" t="s">
        <v>19</v>
      </c>
      <c r="T76" s="44" t="s">
        <v>1964</v>
      </c>
      <c r="U76" s="44" t="s">
        <v>1964</v>
      </c>
      <c r="V76" s="44" t="s">
        <v>1965</v>
      </c>
      <c r="W76" s="44" t="s">
        <v>1966</v>
      </c>
      <c r="X76" s="44" t="s">
        <v>1450</v>
      </c>
      <c r="Y76" s="44" t="s">
        <v>1429</v>
      </c>
      <c r="Z76" s="44" t="s">
        <v>1386</v>
      </c>
      <c r="AH76" s="44" t="s">
        <v>1488</v>
      </c>
      <c r="AI76" s="44" t="s">
        <v>1967</v>
      </c>
      <c r="AK76" s="44" t="s">
        <v>88</v>
      </c>
    </row>
    <row r="77" spans="1:37">
      <c r="B77" s="44" t="s">
        <v>272</v>
      </c>
      <c r="C77" s="44" t="s">
        <v>272</v>
      </c>
      <c r="D77" s="44" t="s">
        <v>1764</v>
      </c>
      <c r="E77" s="44" t="s">
        <v>1617</v>
      </c>
      <c r="F77" s="44" t="s">
        <v>1429</v>
      </c>
      <c r="G77" s="44" t="s">
        <v>1430</v>
      </c>
      <c r="I77" s="45">
        <v>44706.312995486114</v>
      </c>
      <c r="J77" s="44" t="s">
        <v>1756</v>
      </c>
      <c r="K77" s="44" t="s">
        <v>1968</v>
      </c>
      <c r="M77" s="44" t="s">
        <v>273</v>
      </c>
      <c r="N77" s="46" t="e">
        <f>VLOOKUP(M77,'Spend Export'!$B:$E,4,FALSE)</f>
        <v>#N/A</v>
      </c>
      <c r="O77" s="44" t="s">
        <v>1429</v>
      </c>
      <c r="P77" s="44" t="s">
        <v>1969</v>
      </c>
      <c r="Q77" s="44" t="s">
        <v>1429</v>
      </c>
      <c r="R77" s="44" t="s">
        <v>20</v>
      </c>
      <c r="S77" s="44" t="s">
        <v>19</v>
      </c>
      <c r="T77" s="44" t="s">
        <v>1458</v>
      </c>
      <c r="U77" s="44" t="s">
        <v>1458</v>
      </c>
      <c r="V77" s="44" t="s">
        <v>1970</v>
      </c>
      <c r="W77" s="44" t="s">
        <v>1971</v>
      </c>
      <c r="X77" s="44" t="s">
        <v>1461</v>
      </c>
      <c r="Y77" s="44" t="s">
        <v>1429</v>
      </c>
      <c r="Z77" s="44" t="s">
        <v>1429</v>
      </c>
      <c r="AA77" s="44" t="s">
        <v>1972</v>
      </c>
      <c r="AI77" s="44" t="s">
        <v>1973</v>
      </c>
      <c r="AK77" s="44" t="s">
        <v>273</v>
      </c>
    </row>
    <row r="78" spans="1:37">
      <c r="B78" s="44" t="s">
        <v>352</v>
      </c>
      <c r="C78" s="44" t="s">
        <v>352</v>
      </c>
      <c r="D78" s="44" t="s">
        <v>1428</v>
      </c>
      <c r="E78" s="44" t="s">
        <v>1207</v>
      </c>
      <c r="F78" s="44" t="s">
        <v>1974</v>
      </c>
      <c r="G78" s="44" t="s">
        <v>1430</v>
      </c>
      <c r="I78" s="45">
        <v>43474.729525925926</v>
      </c>
      <c r="J78" s="44" t="s">
        <v>1765</v>
      </c>
      <c r="K78" s="44" t="s">
        <v>1975</v>
      </c>
      <c r="M78" s="44" t="s">
        <v>353</v>
      </c>
      <c r="N78" s="46" t="e">
        <f>VLOOKUP(M78,'Spend Export'!$B:$E,4,FALSE)</f>
        <v>#N/A</v>
      </c>
      <c r="P78" s="44" t="s">
        <v>1976</v>
      </c>
      <c r="Q78" s="44" t="s">
        <v>1429</v>
      </c>
      <c r="R78" s="44" t="s">
        <v>20</v>
      </c>
      <c r="S78" s="44" t="s">
        <v>19</v>
      </c>
      <c r="T78" s="44" t="s">
        <v>1458</v>
      </c>
      <c r="U78" s="44" t="s">
        <v>1458</v>
      </c>
      <c r="V78" s="44" t="s">
        <v>1977</v>
      </c>
      <c r="W78" s="44" t="s">
        <v>1978</v>
      </c>
      <c r="X78" s="44" t="s">
        <v>1584</v>
      </c>
      <c r="Y78" s="44" t="s">
        <v>1386</v>
      </c>
      <c r="Z78" s="44" t="s">
        <v>1386</v>
      </c>
      <c r="AG78" s="44" t="s">
        <v>1867</v>
      </c>
      <c r="AI78" s="44" t="s">
        <v>1916</v>
      </c>
      <c r="AK78" s="44" t="s">
        <v>353</v>
      </c>
    </row>
    <row r="79" spans="1:37">
      <c r="B79" s="44" t="s">
        <v>213</v>
      </c>
      <c r="C79" s="44" t="s">
        <v>1979</v>
      </c>
      <c r="D79" s="44" t="s">
        <v>1466</v>
      </c>
      <c r="E79" s="44" t="s">
        <v>1207</v>
      </c>
      <c r="F79" s="44" t="s">
        <v>1429</v>
      </c>
      <c r="G79" s="44" t="s">
        <v>1430</v>
      </c>
      <c r="I79" s="45">
        <v>37918.944065081021</v>
      </c>
      <c r="K79" s="44" t="s">
        <v>1778</v>
      </c>
      <c r="L79" s="44" t="s">
        <v>1779</v>
      </c>
      <c r="M79" s="44" t="s">
        <v>233</v>
      </c>
      <c r="N79" s="46">
        <f>VLOOKUP(M79,'Spend Export'!$B:$E,4,FALSE)</f>
        <v>175534.61000000002</v>
      </c>
      <c r="O79" s="44" t="s">
        <v>1429</v>
      </c>
      <c r="P79" s="44" t="s">
        <v>1780</v>
      </c>
      <c r="Q79" s="44" t="s">
        <v>1429</v>
      </c>
      <c r="R79" s="44" t="s">
        <v>19</v>
      </c>
      <c r="S79" s="44" t="s">
        <v>19</v>
      </c>
      <c r="T79" s="44" t="s">
        <v>1980</v>
      </c>
      <c r="U79" s="44" t="s">
        <v>1708</v>
      </c>
      <c r="V79" s="44" t="s">
        <v>1781</v>
      </c>
      <c r="W79" s="44" t="s">
        <v>1782</v>
      </c>
      <c r="X79" s="44" t="s">
        <v>1439</v>
      </c>
      <c r="Y79" s="44" t="s">
        <v>1429</v>
      </c>
      <c r="Z79" s="44" t="s">
        <v>1386</v>
      </c>
      <c r="AG79" s="44" t="s">
        <v>1981</v>
      </c>
      <c r="AI79" s="44" t="s">
        <v>1982</v>
      </c>
      <c r="AK79" s="44" t="s">
        <v>233</v>
      </c>
    </row>
    <row r="80" spans="1:37">
      <c r="B80" s="44" t="s">
        <v>746</v>
      </c>
      <c r="C80" s="44" t="s">
        <v>746</v>
      </c>
      <c r="D80" s="44" t="s">
        <v>1428</v>
      </c>
      <c r="E80" s="44" t="s">
        <v>1207</v>
      </c>
      <c r="F80" s="44" t="s">
        <v>1983</v>
      </c>
      <c r="G80" s="44" t="s">
        <v>1430</v>
      </c>
      <c r="I80" s="45">
        <v>37918.870370833334</v>
      </c>
      <c r="K80" s="44" t="s">
        <v>1984</v>
      </c>
      <c r="L80" s="44" t="s">
        <v>1985</v>
      </c>
      <c r="M80" s="44" t="s">
        <v>747</v>
      </c>
      <c r="N80" s="46">
        <f>VLOOKUP(M80,'Spend Export'!$B:$E,4,FALSE)</f>
        <v>174322.44</v>
      </c>
      <c r="O80" s="44" t="s">
        <v>1429</v>
      </c>
      <c r="P80" s="44" t="s">
        <v>1986</v>
      </c>
      <c r="Q80" s="44" t="s">
        <v>1429</v>
      </c>
      <c r="R80" s="44" t="s">
        <v>20</v>
      </c>
      <c r="S80" s="44" t="s">
        <v>19</v>
      </c>
      <c r="T80" s="44" t="s">
        <v>1502</v>
      </c>
      <c r="U80" s="44" t="s">
        <v>1502</v>
      </c>
      <c r="V80" s="44" t="s">
        <v>1987</v>
      </c>
      <c r="W80" s="44" t="s">
        <v>1988</v>
      </c>
      <c r="X80" s="44" t="s">
        <v>1439</v>
      </c>
      <c r="Y80" s="44" t="s">
        <v>1429</v>
      </c>
      <c r="Z80" s="44" t="s">
        <v>1429</v>
      </c>
      <c r="AK80" s="44" t="s">
        <v>747</v>
      </c>
    </row>
    <row r="81" spans="1:37">
      <c r="B81" s="44" t="s">
        <v>168</v>
      </c>
      <c r="C81" s="44" t="s">
        <v>168</v>
      </c>
      <c r="D81" s="44" t="s">
        <v>1443</v>
      </c>
      <c r="E81" s="44" t="s">
        <v>1207</v>
      </c>
      <c r="F81" s="44" t="s">
        <v>1429</v>
      </c>
      <c r="G81" s="44" t="s">
        <v>1430</v>
      </c>
      <c r="I81" s="45">
        <v>41514.63479128472</v>
      </c>
      <c r="K81" s="44" t="s">
        <v>1989</v>
      </c>
      <c r="M81" s="44" t="s">
        <v>169</v>
      </c>
      <c r="N81" s="46" t="e">
        <f>VLOOKUP(M81,'Spend Export'!$B:$E,4,FALSE)</f>
        <v>#N/A</v>
      </c>
      <c r="P81" s="44" t="s">
        <v>1990</v>
      </c>
      <c r="Q81" s="44" t="s">
        <v>1429</v>
      </c>
      <c r="R81" s="44" t="s">
        <v>20</v>
      </c>
      <c r="S81" s="44" t="s">
        <v>19</v>
      </c>
      <c r="T81" s="44" t="s">
        <v>1991</v>
      </c>
      <c r="U81" s="44" t="s">
        <v>1458</v>
      </c>
      <c r="V81" s="44" t="s">
        <v>1992</v>
      </c>
      <c r="W81" s="44" t="s">
        <v>1993</v>
      </c>
      <c r="X81" s="44" t="s">
        <v>1461</v>
      </c>
      <c r="Y81" s="44" t="s">
        <v>1429</v>
      </c>
      <c r="Z81" s="44" t="s">
        <v>1386</v>
      </c>
      <c r="AA81" s="44" t="s">
        <v>1462</v>
      </c>
      <c r="AK81" s="44" t="s">
        <v>169</v>
      </c>
    </row>
    <row r="82" spans="1:37">
      <c r="B82" s="44" t="s">
        <v>416</v>
      </c>
      <c r="C82" s="44" t="s">
        <v>416</v>
      </c>
      <c r="D82" s="44" t="s">
        <v>1994</v>
      </c>
      <c r="E82" s="44" t="s">
        <v>1652</v>
      </c>
      <c r="F82" s="44" t="s">
        <v>1995</v>
      </c>
      <c r="G82" s="44" t="s">
        <v>1430</v>
      </c>
      <c r="I82" s="45">
        <v>40002.620671724537</v>
      </c>
      <c r="K82" s="44" t="s">
        <v>1996</v>
      </c>
      <c r="M82" s="44" t="s">
        <v>417</v>
      </c>
      <c r="N82" s="46" t="e">
        <f>VLOOKUP(M82,'Spend Export'!$B:$E,4,FALSE)</f>
        <v>#N/A</v>
      </c>
      <c r="O82" s="44" t="s">
        <v>1429</v>
      </c>
      <c r="P82" s="44" t="s">
        <v>1997</v>
      </c>
      <c r="Q82" s="44" t="s">
        <v>1429</v>
      </c>
      <c r="R82" s="44" t="s">
        <v>20</v>
      </c>
      <c r="S82" s="44" t="s">
        <v>19</v>
      </c>
      <c r="T82" s="44" t="s">
        <v>1458</v>
      </c>
      <c r="U82" s="44" t="s">
        <v>1458</v>
      </c>
      <c r="V82" s="44" t="s">
        <v>1998</v>
      </c>
      <c r="W82" s="44" t="s">
        <v>1995</v>
      </c>
      <c r="X82" s="44" t="s">
        <v>1450</v>
      </c>
      <c r="Y82" s="44" t="s">
        <v>1386</v>
      </c>
      <c r="Z82" s="44" t="s">
        <v>1429</v>
      </c>
      <c r="AA82" s="44" t="s">
        <v>1761</v>
      </c>
      <c r="AK82" s="44" t="s">
        <v>417</v>
      </c>
    </row>
    <row r="83" spans="1:37">
      <c r="B83" s="44" t="s">
        <v>347</v>
      </c>
      <c r="C83" s="44" t="s">
        <v>347</v>
      </c>
      <c r="D83" s="44" t="s">
        <v>1999</v>
      </c>
      <c r="E83" s="44" t="s">
        <v>1784</v>
      </c>
      <c r="F83" s="44" t="s">
        <v>1429</v>
      </c>
      <c r="G83" s="44" t="s">
        <v>1430</v>
      </c>
      <c r="I83" s="45">
        <v>44064.628810844908</v>
      </c>
      <c r="J83" s="44" t="s">
        <v>1492</v>
      </c>
      <c r="K83" s="44" t="s">
        <v>2000</v>
      </c>
      <c r="M83" s="44" t="s">
        <v>348</v>
      </c>
      <c r="N83" s="46" t="e">
        <f>VLOOKUP(M83,'Spend Export'!$B:$E,4,FALSE)</f>
        <v>#N/A</v>
      </c>
      <c r="O83" s="44" t="s">
        <v>1429</v>
      </c>
      <c r="P83" s="44" t="s">
        <v>1429</v>
      </c>
      <c r="Q83" s="44" t="s">
        <v>1429</v>
      </c>
      <c r="R83" s="44" t="s">
        <v>20</v>
      </c>
      <c r="S83" s="44" t="s">
        <v>19</v>
      </c>
      <c r="T83" s="44" t="s">
        <v>1458</v>
      </c>
      <c r="U83" s="44" t="s">
        <v>1458</v>
      </c>
      <c r="V83" s="44" t="s">
        <v>2001</v>
      </c>
      <c r="W83" s="44" t="s">
        <v>2002</v>
      </c>
      <c r="X83" s="44" t="s">
        <v>1439</v>
      </c>
      <c r="Y83" s="44" t="s">
        <v>1429</v>
      </c>
      <c r="Z83" s="44" t="s">
        <v>1386</v>
      </c>
      <c r="AG83" s="44" t="s">
        <v>1863</v>
      </c>
      <c r="AI83" s="44" t="s">
        <v>2003</v>
      </c>
      <c r="AK83" s="44" t="s">
        <v>348</v>
      </c>
    </row>
    <row r="84" spans="1:37">
      <c r="B84" s="44" t="s">
        <v>137</v>
      </c>
      <c r="C84" s="44" t="s">
        <v>137</v>
      </c>
      <c r="D84" s="44" t="s">
        <v>2004</v>
      </c>
      <c r="E84" s="44" t="s">
        <v>2005</v>
      </c>
      <c r="F84" s="44" t="s">
        <v>1429</v>
      </c>
      <c r="G84" s="44" t="s">
        <v>1430</v>
      </c>
      <c r="I84" s="45">
        <v>42128.447829247685</v>
      </c>
      <c r="K84" s="44" t="s">
        <v>2006</v>
      </c>
      <c r="M84" s="44" t="s">
        <v>138</v>
      </c>
      <c r="N84" s="46" t="e">
        <f>VLOOKUP(M84,'Spend Export'!$B:$E,4,FALSE)</f>
        <v>#N/A</v>
      </c>
      <c r="P84" s="44" t="s">
        <v>2007</v>
      </c>
      <c r="Q84" s="44" t="s">
        <v>1429</v>
      </c>
      <c r="R84" s="44" t="s">
        <v>20</v>
      </c>
      <c r="S84" s="44" t="s">
        <v>19</v>
      </c>
      <c r="T84" s="44" t="s">
        <v>1458</v>
      </c>
      <c r="U84" s="44" t="s">
        <v>1458</v>
      </c>
      <c r="X84" s="44" t="s">
        <v>1461</v>
      </c>
      <c r="Y84" s="44" t="s">
        <v>1429</v>
      </c>
      <c r="Z84" s="44" t="s">
        <v>1429</v>
      </c>
      <c r="AK84" s="44" t="s">
        <v>138</v>
      </c>
    </row>
    <row r="85" spans="1:37">
      <c r="B85" s="44" t="s">
        <v>319</v>
      </c>
      <c r="C85" s="44" t="s">
        <v>319</v>
      </c>
      <c r="D85" s="44" t="s">
        <v>2008</v>
      </c>
      <c r="E85" s="44" t="s">
        <v>1207</v>
      </c>
      <c r="F85" s="44" t="s">
        <v>1429</v>
      </c>
      <c r="G85" s="44" t="s">
        <v>1430</v>
      </c>
      <c r="I85" s="45">
        <v>44804.425828819447</v>
      </c>
      <c r="J85" s="44" t="s">
        <v>2009</v>
      </c>
      <c r="K85" s="44" t="s">
        <v>2010</v>
      </c>
      <c r="M85" s="44" t="s">
        <v>320</v>
      </c>
      <c r="N85" s="46" t="e">
        <f>VLOOKUP(M85,'Spend Export'!$B:$E,4,FALSE)</f>
        <v>#N/A</v>
      </c>
      <c r="O85" s="44" t="s">
        <v>1429</v>
      </c>
      <c r="P85" s="44" t="s">
        <v>1429</v>
      </c>
      <c r="Q85" s="44" t="s">
        <v>1429</v>
      </c>
      <c r="R85" s="44" t="s">
        <v>20</v>
      </c>
      <c r="S85" s="44" t="s">
        <v>19</v>
      </c>
      <c r="T85" s="44" t="s">
        <v>1458</v>
      </c>
      <c r="U85" s="44" t="s">
        <v>1458</v>
      </c>
      <c r="V85" s="44" t="s">
        <v>2011</v>
      </c>
      <c r="W85" s="44" t="s">
        <v>2012</v>
      </c>
      <c r="X85" s="44" t="s">
        <v>1461</v>
      </c>
      <c r="Y85" s="44" t="s">
        <v>1386</v>
      </c>
      <c r="Z85" s="44" t="s">
        <v>1386</v>
      </c>
      <c r="AA85" s="44" t="s">
        <v>2013</v>
      </c>
      <c r="AI85" s="44" t="s">
        <v>2014</v>
      </c>
      <c r="AK85" s="44" t="s">
        <v>320</v>
      </c>
    </row>
    <row r="86" spans="1:37">
      <c r="B86" s="44" t="s">
        <v>184</v>
      </c>
      <c r="C86" s="44" t="s">
        <v>184</v>
      </c>
      <c r="D86" s="44" t="s">
        <v>1428</v>
      </c>
      <c r="E86" s="44" t="s">
        <v>1207</v>
      </c>
      <c r="F86" s="44" t="s">
        <v>1429</v>
      </c>
      <c r="G86" s="44" t="s">
        <v>1430</v>
      </c>
      <c r="I86" s="45">
        <v>44603.434834571759</v>
      </c>
      <c r="J86" s="44" t="s">
        <v>1756</v>
      </c>
      <c r="K86" s="44" t="s">
        <v>2015</v>
      </c>
      <c r="M86" s="44" t="s">
        <v>185</v>
      </c>
      <c r="N86" s="46" t="e">
        <f>VLOOKUP(M86,'Spend Export'!$B:$E,4,FALSE)</f>
        <v>#N/A</v>
      </c>
      <c r="O86" s="44" t="s">
        <v>1429</v>
      </c>
      <c r="P86" s="44" t="s">
        <v>2016</v>
      </c>
      <c r="Q86" s="44" t="s">
        <v>1429</v>
      </c>
      <c r="R86" s="44" t="s">
        <v>20</v>
      </c>
      <c r="S86" s="44" t="s">
        <v>19</v>
      </c>
      <c r="T86" s="44" t="s">
        <v>1458</v>
      </c>
      <c r="U86" s="44" t="s">
        <v>1458</v>
      </c>
      <c r="V86" s="44" t="s">
        <v>2017</v>
      </c>
      <c r="W86" s="44" t="s">
        <v>2018</v>
      </c>
      <c r="X86" s="44" t="s">
        <v>1450</v>
      </c>
      <c r="Y86" s="44" t="s">
        <v>1386</v>
      </c>
      <c r="Z86" s="44" t="s">
        <v>1386</v>
      </c>
      <c r="AA86" s="44" t="s">
        <v>2019</v>
      </c>
      <c r="AI86" s="44" t="s">
        <v>2020</v>
      </c>
      <c r="AK86" s="44" t="s">
        <v>185</v>
      </c>
    </row>
    <row r="87" spans="1:37">
      <c r="B87" s="44" t="s">
        <v>278</v>
      </c>
      <c r="C87" s="44" t="s">
        <v>278</v>
      </c>
      <c r="D87" s="44" t="s">
        <v>2021</v>
      </c>
      <c r="E87" s="44" t="s">
        <v>1207</v>
      </c>
      <c r="F87" s="44" t="s">
        <v>1429</v>
      </c>
      <c r="G87" s="44" t="s">
        <v>1430</v>
      </c>
      <c r="I87" s="45">
        <v>43896.415898032406</v>
      </c>
      <c r="J87" s="44" t="s">
        <v>2022</v>
      </c>
      <c r="K87" s="44" t="s">
        <v>2023</v>
      </c>
      <c r="L87" s="44" t="s">
        <v>1429</v>
      </c>
      <c r="M87" s="44" t="s">
        <v>279</v>
      </c>
      <c r="N87" s="46">
        <f>VLOOKUP(M87,'Spend Export'!$B:$E,4,FALSE)</f>
        <v>157288.22999999998</v>
      </c>
      <c r="P87" s="44" t="s">
        <v>2024</v>
      </c>
      <c r="Q87" s="44" t="s">
        <v>1429</v>
      </c>
      <c r="R87" s="44" t="s">
        <v>20</v>
      </c>
      <c r="S87" s="44" t="s">
        <v>19</v>
      </c>
      <c r="T87" s="44" t="s">
        <v>1484</v>
      </c>
      <c r="U87" s="44" t="s">
        <v>1484</v>
      </c>
      <c r="V87" s="44" t="s">
        <v>2025</v>
      </c>
      <c r="W87" s="44" t="s">
        <v>2026</v>
      </c>
      <c r="X87" s="44" t="s">
        <v>1439</v>
      </c>
      <c r="Y87" s="44" t="s">
        <v>1429</v>
      </c>
      <c r="Z87" s="44" t="s">
        <v>1429</v>
      </c>
      <c r="AG87" s="44" t="s">
        <v>2027</v>
      </c>
      <c r="AI87" s="44" t="s">
        <v>2028</v>
      </c>
      <c r="AK87" s="44" t="s">
        <v>279</v>
      </c>
    </row>
    <row r="88" spans="1:37">
      <c r="B88" s="44" t="s">
        <v>486</v>
      </c>
      <c r="C88" s="44" t="s">
        <v>486</v>
      </c>
      <c r="D88" s="44" t="s">
        <v>2029</v>
      </c>
      <c r="E88" s="44" t="s">
        <v>1572</v>
      </c>
      <c r="F88" s="44" t="s">
        <v>1429</v>
      </c>
      <c r="G88" s="44" t="s">
        <v>1430</v>
      </c>
      <c r="I88" s="45">
        <v>43817.63662542824</v>
      </c>
      <c r="J88" s="44" t="s">
        <v>2030</v>
      </c>
      <c r="K88" s="44" t="s">
        <v>2031</v>
      </c>
      <c r="M88" s="44" t="s">
        <v>487</v>
      </c>
      <c r="N88" s="46" t="e">
        <f>VLOOKUP(M88,'Spend Export'!$B:$E,4,FALSE)</f>
        <v>#N/A</v>
      </c>
      <c r="P88" s="44" t="s">
        <v>1429</v>
      </c>
      <c r="Q88" s="44" t="s">
        <v>1429</v>
      </c>
      <c r="R88" s="44" t="s">
        <v>20</v>
      </c>
      <c r="S88" s="44" t="s">
        <v>19</v>
      </c>
      <c r="T88" s="44" t="s">
        <v>1458</v>
      </c>
      <c r="U88" s="44" t="s">
        <v>1458</v>
      </c>
      <c r="V88" s="44" t="s">
        <v>2032</v>
      </c>
      <c r="W88" s="44" t="s">
        <v>2033</v>
      </c>
      <c r="X88" s="44" t="s">
        <v>1439</v>
      </c>
      <c r="Y88" s="44" t="s">
        <v>1429</v>
      </c>
      <c r="Z88" s="44" t="s">
        <v>1386</v>
      </c>
      <c r="AI88" s="44" t="s">
        <v>2034</v>
      </c>
      <c r="AK88" s="44" t="s">
        <v>487</v>
      </c>
    </row>
    <row r="89" spans="1:37">
      <c r="B89" s="44" t="s">
        <v>113</v>
      </c>
      <c r="C89" s="44" t="s">
        <v>113</v>
      </c>
      <c r="D89" s="44" t="s">
        <v>1443</v>
      </c>
      <c r="E89" s="44" t="s">
        <v>1207</v>
      </c>
      <c r="F89" s="44" t="s">
        <v>1429</v>
      </c>
      <c r="G89" s="44" t="s">
        <v>1430</v>
      </c>
      <c r="I89" s="45">
        <v>43837.61809984954</v>
      </c>
      <c r="J89" s="44" t="s">
        <v>2035</v>
      </c>
      <c r="K89" s="44" t="s">
        <v>2036</v>
      </c>
      <c r="M89" s="44" t="s">
        <v>114</v>
      </c>
      <c r="N89" s="46" t="e">
        <f>VLOOKUP(M89,'Spend Export'!$B:$E,4,FALSE)</f>
        <v>#N/A</v>
      </c>
      <c r="O89" s="44" t="s">
        <v>1429</v>
      </c>
      <c r="P89" s="44" t="s">
        <v>2037</v>
      </c>
      <c r="Q89" s="44" t="s">
        <v>1429</v>
      </c>
      <c r="R89" s="44" t="s">
        <v>19</v>
      </c>
      <c r="S89" s="44" t="s">
        <v>19</v>
      </c>
      <c r="T89" s="44" t="s">
        <v>1458</v>
      </c>
      <c r="U89" s="44" t="s">
        <v>1458</v>
      </c>
      <c r="V89" s="44" t="s">
        <v>2038</v>
      </c>
      <c r="W89" s="44" t="s">
        <v>2039</v>
      </c>
      <c r="X89" s="44" t="s">
        <v>1450</v>
      </c>
      <c r="Y89" s="44" t="s">
        <v>1429</v>
      </c>
      <c r="Z89" s="44" t="s">
        <v>1386</v>
      </c>
      <c r="AI89" s="44" t="s">
        <v>2040</v>
      </c>
      <c r="AK89" s="44" t="s">
        <v>114</v>
      </c>
    </row>
    <row r="90" spans="1:37">
      <c r="A90" s="44" t="s">
        <v>1481</v>
      </c>
      <c r="B90" s="44" t="s">
        <v>462</v>
      </c>
      <c r="C90" s="44" t="s">
        <v>462</v>
      </c>
      <c r="D90" s="44" t="s">
        <v>1428</v>
      </c>
      <c r="E90" s="44" t="s">
        <v>1207</v>
      </c>
      <c r="F90" s="44" t="s">
        <v>1429</v>
      </c>
      <c r="G90" s="44" t="s">
        <v>1430</v>
      </c>
      <c r="H90" s="44" t="s">
        <v>1431</v>
      </c>
      <c r="I90" s="45">
        <v>38708.501317824077</v>
      </c>
      <c r="K90" s="44" t="s">
        <v>2041</v>
      </c>
      <c r="M90" s="44" t="s">
        <v>463</v>
      </c>
      <c r="N90" s="46">
        <f>VLOOKUP(M90,'Spend Export'!$B:$E,4,FALSE)</f>
        <v>152103.03</v>
      </c>
      <c r="P90" s="44" t="s">
        <v>2042</v>
      </c>
      <c r="Q90" s="44" t="s">
        <v>1429</v>
      </c>
      <c r="R90" s="44" t="s">
        <v>20</v>
      </c>
      <c r="S90" s="44" t="s">
        <v>19</v>
      </c>
      <c r="T90" s="44" t="s">
        <v>1484</v>
      </c>
      <c r="U90" s="44" t="s">
        <v>1484</v>
      </c>
      <c r="V90" s="44" t="s">
        <v>1485</v>
      </c>
      <c r="W90" s="44" t="s">
        <v>1486</v>
      </c>
      <c r="X90" s="44" t="s">
        <v>1584</v>
      </c>
      <c r="Y90" s="44" t="s">
        <v>1429</v>
      </c>
      <c r="Z90" s="44" t="s">
        <v>1386</v>
      </c>
      <c r="AG90" s="44" t="s">
        <v>2043</v>
      </c>
      <c r="AH90" s="44" t="s">
        <v>1488</v>
      </c>
      <c r="AK90" s="44" t="s">
        <v>463</v>
      </c>
    </row>
    <row r="91" spans="1:37">
      <c r="B91" s="44" t="s">
        <v>325</v>
      </c>
      <c r="C91" s="44" t="s">
        <v>325</v>
      </c>
      <c r="D91" s="44" t="s">
        <v>1428</v>
      </c>
      <c r="E91" s="44" t="s">
        <v>1207</v>
      </c>
      <c r="F91" s="44" t="s">
        <v>2044</v>
      </c>
      <c r="G91" s="44" t="s">
        <v>1430</v>
      </c>
      <c r="I91" s="45">
        <v>37928.579645868056</v>
      </c>
      <c r="K91" s="44" t="s">
        <v>2045</v>
      </c>
      <c r="M91" s="44" t="s">
        <v>326</v>
      </c>
      <c r="N91" s="46">
        <f>VLOOKUP(M91,'Spend Export'!$B:$E,4,FALSE)</f>
        <v>147726.81</v>
      </c>
      <c r="P91" s="44" t="s">
        <v>2046</v>
      </c>
      <c r="Q91" s="44" t="s">
        <v>1429</v>
      </c>
      <c r="R91" s="44" t="s">
        <v>20</v>
      </c>
      <c r="S91" s="44" t="s">
        <v>19</v>
      </c>
      <c r="T91" s="44" t="s">
        <v>1556</v>
      </c>
      <c r="U91" s="44" t="s">
        <v>1556</v>
      </c>
      <c r="V91" s="44" t="s">
        <v>2047</v>
      </c>
      <c r="W91" s="44" t="s">
        <v>2048</v>
      </c>
      <c r="X91" s="44" t="s">
        <v>1439</v>
      </c>
      <c r="Y91" s="44" t="s">
        <v>1429</v>
      </c>
      <c r="Z91" s="44" t="s">
        <v>1429</v>
      </c>
      <c r="AH91" s="44" t="s">
        <v>1488</v>
      </c>
      <c r="AK91" s="44" t="s">
        <v>326</v>
      </c>
    </row>
    <row r="92" spans="1:37">
      <c r="B92" s="44" t="s">
        <v>201</v>
      </c>
      <c r="C92" s="44" t="s">
        <v>201</v>
      </c>
      <c r="D92" s="44" t="s">
        <v>2049</v>
      </c>
      <c r="E92" s="44" t="s">
        <v>1207</v>
      </c>
      <c r="F92" s="44" t="s">
        <v>2050</v>
      </c>
      <c r="G92" s="44" t="s">
        <v>1430</v>
      </c>
      <c r="I92" s="45">
        <v>43052.600512696758</v>
      </c>
      <c r="J92" s="44" t="s">
        <v>2051</v>
      </c>
      <c r="K92" s="44" t="s">
        <v>2052</v>
      </c>
      <c r="M92" s="44" t="s">
        <v>202</v>
      </c>
      <c r="N92" s="46" t="e">
        <f>VLOOKUP(M92,'Spend Export'!$B:$E,4,FALSE)</f>
        <v>#N/A</v>
      </c>
      <c r="P92" s="44" t="s">
        <v>2053</v>
      </c>
      <c r="Q92" s="44" t="s">
        <v>1429</v>
      </c>
      <c r="R92" s="44" t="s">
        <v>19</v>
      </c>
      <c r="S92" s="44" t="s">
        <v>19</v>
      </c>
      <c r="T92" s="44" t="s">
        <v>1458</v>
      </c>
      <c r="U92" s="44" t="s">
        <v>1458</v>
      </c>
      <c r="V92" s="44" t="s">
        <v>2054</v>
      </c>
      <c r="W92" s="44" t="s">
        <v>2050</v>
      </c>
      <c r="X92" s="44" t="s">
        <v>1461</v>
      </c>
      <c r="Y92" s="44" t="s">
        <v>1429</v>
      </c>
      <c r="Z92" s="44" t="s">
        <v>1386</v>
      </c>
      <c r="AI92" s="44" t="s">
        <v>2055</v>
      </c>
      <c r="AK92" s="44" t="s">
        <v>2056</v>
      </c>
    </row>
    <row r="93" spans="1:37">
      <c r="B93" s="44" t="s">
        <v>258</v>
      </c>
      <c r="C93" s="44" t="s">
        <v>258</v>
      </c>
      <c r="D93" s="44" t="s">
        <v>1428</v>
      </c>
      <c r="E93" s="44" t="s">
        <v>1207</v>
      </c>
      <c r="F93" s="44" t="s">
        <v>1429</v>
      </c>
      <c r="G93" s="44" t="s">
        <v>1430</v>
      </c>
      <c r="I93" s="45">
        <v>44862.454122719908</v>
      </c>
      <c r="J93" s="44" t="s">
        <v>2057</v>
      </c>
      <c r="K93" s="44" t="s">
        <v>2058</v>
      </c>
      <c r="M93" s="44" t="s">
        <v>259</v>
      </c>
      <c r="N93" s="46">
        <f>VLOOKUP(M93,'Spend Export'!$B:$E,4,FALSE)</f>
        <v>144300.85999999999</v>
      </c>
      <c r="O93" s="44" t="s">
        <v>1429</v>
      </c>
      <c r="P93" s="44" t="s">
        <v>2059</v>
      </c>
      <c r="Q93" s="44" t="s">
        <v>1429</v>
      </c>
      <c r="R93" s="44" t="s">
        <v>19</v>
      </c>
      <c r="S93" s="44" t="s">
        <v>19</v>
      </c>
      <c r="T93" s="44" t="s">
        <v>1484</v>
      </c>
      <c r="U93" s="44" t="s">
        <v>1484</v>
      </c>
      <c r="V93" s="44" t="s">
        <v>2060</v>
      </c>
      <c r="W93" s="44" t="s">
        <v>2061</v>
      </c>
      <c r="X93" s="44" t="s">
        <v>1450</v>
      </c>
      <c r="Y93" s="44" t="s">
        <v>1429</v>
      </c>
      <c r="Z93" s="44" t="s">
        <v>1429</v>
      </c>
      <c r="AG93" s="44" t="s">
        <v>2062</v>
      </c>
      <c r="AI93" s="44" t="s">
        <v>2063</v>
      </c>
      <c r="AK93" s="44" t="s">
        <v>259</v>
      </c>
    </row>
    <row r="94" spans="1:37">
      <c r="B94" s="44" t="s">
        <v>474</v>
      </c>
      <c r="C94" s="44" t="s">
        <v>474</v>
      </c>
      <c r="D94" s="44" t="s">
        <v>1428</v>
      </c>
      <c r="E94" s="44" t="s">
        <v>1207</v>
      </c>
      <c r="F94" s="44" t="s">
        <v>2064</v>
      </c>
      <c r="G94" s="44" t="s">
        <v>1430</v>
      </c>
      <c r="I94" s="45">
        <v>37918.579829282404</v>
      </c>
      <c r="J94" s="44" t="s">
        <v>2065</v>
      </c>
      <c r="K94" s="44" t="s">
        <v>2066</v>
      </c>
      <c r="M94" s="44" t="s">
        <v>475</v>
      </c>
      <c r="N94" s="46" t="e">
        <f>VLOOKUP(M94,'Spend Export'!$B:$E,4,FALSE)</f>
        <v>#N/A</v>
      </c>
      <c r="P94" s="44" t="s">
        <v>2067</v>
      </c>
      <c r="Q94" s="44" t="s">
        <v>1429</v>
      </c>
      <c r="R94" s="44" t="s">
        <v>20</v>
      </c>
      <c r="S94" s="44" t="s">
        <v>19</v>
      </c>
      <c r="T94" s="44" t="s">
        <v>1458</v>
      </c>
      <c r="U94" s="44" t="s">
        <v>1458</v>
      </c>
      <c r="V94" s="44" t="s">
        <v>2068</v>
      </c>
      <c r="W94" s="44" t="s">
        <v>2069</v>
      </c>
      <c r="X94" s="44" t="s">
        <v>1439</v>
      </c>
      <c r="Y94" s="44" t="s">
        <v>1386</v>
      </c>
      <c r="Z94" s="44" t="s">
        <v>1386</v>
      </c>
      <c r="AA94" s="44" t="s">
        <v>2065</v>
      </c>
      <c r="AI94" s="44" t="s">
        <v>2070</v>
      </c>
      <c r="AK94" s="44" t="s">
        <v>475</v>
      </c>
    </row>
    <row r="95" spans="1:37">
      <c r="B95" s="44" t="s">
        <v>382</v>
      </c>
      <c r="C95" s="44" t="s">
        <v>382</v>
      </c>
      <c r="D95" s="44" t="s">
        <v>2071</v>
      </c>
      <c r="E95" s="44" t="s">
        <v>2072</v>
      </c>
      <c r="F95" s="44" t="s">
        <v>1429</v>
      </c>
      <c r="G95" s="44" t="s">
        <v>1430</v>
      </c>
      <c r="I95" s="45">
        <v>44733.582607488424</v>
      </c>
      <c r="J95" s="44" t="s">
        <v>1618</v>
      </c>
      <c r="K95" s="44" t="s">
        <v>2073</v>
      </c>
      <c r="M95" s="44" t="s">
        <v>383</v>
      </c>
      <c r="N95" s="46" t="e">
        <f>VLOOKUP(M95,'Spend Export'!$B:$E,4,FALSE)</f>
        <v>#N/A</v>
      </c>
      <c r="O95" s="44" t="s">
        <v>1429</v>
      </c>
      <c r="P95" s="44" t="s">
        <v>2074</v>
      </c>
      <c r="Q95" s="44" t="s">
        <v>1429</v>
      </c>
      <c r="R95" s="44" t="s">
        <v>20</v>
      </c>
      <c r="S95" s="44" t="s">
        <v>19</v>
      </c>
      <c r="T95" s="44" t="s">
        <v>1470</v>
      </c>
      <c r="U95" s="44" t="s">
        <v>1458</v>
      </c>
      <c r="V95" s="44" t="s">
        <v>2075</v>
      </c>
      <c r="W95" s="44" t="s">
        <v>2076</v>
      </c>
      <c r="X95" s="44" t="s">
        <v>1439</v>
      </c>
      <c r="Y95" s="44" t="s">
        <v>1429</v>
      </c>
      <c r="Z95" s="44" t="s">
        <v>1429</v>
      </c>
      <c r="AI95" s="44" t="s">
        <v>2077</v>
      </c>
      <c r="AK95" s="44" t="s">
        <v>383</v>
      </c>
    </row>
    <row r="96" spans="1:37">
      <c r="B96" s="44" t="s">
        <v>234</v>
      </c>
      <c r="C96" s="44" t="s">
        <v>234</v>
      </c>
      <c r="D96" s="44" t="s">
        <v>1522</v>
      </c>
      <c r="E96" s="44" t="s">
        <v>1207</v>
      </c>
      <c r="F96" s="44" t="s">
        <v>1429</v>
      </c>
      <c r="G96" s="44" t="s">
        <v>1430</v>
      </c>
      <c r="I96" s="45">
        <v>43584.782885960645</v>
      </c>
      <c r="J96" s="44" t="s">
        <v>2078</v>
      </c>
      <c r="K96" s="44" t="s">
        <v>2079</v>
      </c>
      <c r="M96" s="44" t="s">
        <v>235</v>
      </c>
      <c r="N96" s="46" t="e">
        <f>VLOOKUP(M96,'Spend Export'!$B:$E,4,FALSE)</f>
        <v>#N/A</v>
      </c>
      <c r="P96" s="44" t="s">
        <v>2080</v>
      </c>
      <c r="Q96" s="44" t="s">
        <v>1429</v>
      </c>
      <c r="R96" s="44" t="s">
        <v>20</v>
      </c>
      <c r="S96" s="44" t="s">
        <v>19</v>
      </c>
      <c r="T96" s="44" t="s">
        <v>2081</v>
      </c>
      <c r="U96" s="44" t="s">
        <v>1458</v>
      </c>
      <c r="V96" s="44" t="s">
        <v>2082</v>
      </c>
      <c r="W96" s="44" t="s">
        <v>2083</v>
      </c>
      <c r="X96" s="44" t="s">
        <v>1439</v>
      </c>
      <c r="Y96" s="44" t="s">
        <v>1429</v>
      </c>
      <c r="Z96" s="44" t="s">
        <v>1386</v>
      </c>
      <c r="AA96" s="44" t="s">
        <v>2084</v>
      </c>
      <c r="AI96" s="44" t="s">
        <v>2085</v>
      </c>
      <c r="AK96" s="44" t="s">
        <v>235</v>
      </c>
    </row>
    <row r="97" spans="2:37">
      <c r="B97" s="44" t="s">
        <v>64</v>
      </c>
      <c r="C97" s="44" t="s">
        <v>64</v>
      </c>
      <c r="D97" s="44" t="s">
        <v>2086</v>
      </c>
      <c r="E97" s="44" t="s">
        <v>1682</v>
      </c>
      <c r="F97" s="44" t="s">
        <v>2087</v>
      </c>
      <c r="G97" s="44" t="s">
        <v>1430</v>
      </c>
      <c r="I97" s="45">
        <v>37918.889511921298</v>
      </c>
      <c r="K97" s="44" t="s">
        <v>2088</v>
      </c>
      <c r="M97" s="44" t="s">
        <v>65</v>
      </c>
      <c r="N97" s="46">
        <f>VLOOKUP(M97,'Spend Export'!$B:$E,4,FALSE)</f>
        <v>138821.12</v>
      </c>
      <c r="O97" s="44" t="s">
        <v>1429</v>
      </c>
      <c r="P97" s="44" t="s">
        <v>2089</v>
      </c>
      <c r="Q97" s="44" t="s">
        <v>1429</v>
      </c>
      <c r="R97" s="44" t="s">
        <v>20</v>
      </c>
      <c r="S97" s="44" t="s">
        <v>19</v>
      </c>
      <c r="T97" s="44" t="s">
        <v>1519</v>
      </c>
      <c r="U97" s="44" t="s">
        <v>1519</v>
      </c>
      <c r="V97" s="44" t="s">
        <v>2090</v>
      </c>
      <c r="W97" s="44" t="s">
        <v>2091</v>
      </c>
      <c r="X97" s="44" t="s">
        <v>1461</v>
      </c>
      <c r="Y97" s="44" t="s">
        <v>1429</v>
      </c>
      <c r="Z97" s="44" t="s">
        <v>1429</v>
      </c>
      <c r="AK97" s="44" t="s">
        <v>65</v>
      </c>
    </row>
    <row r="98" spans="2:37">
      <c r="B98" s="44" t="s">
        <v>229</v>
      </c>
      <c r="C98" s="44" t="s">
        <v>229</v>
      </c>
      <c r="D98" s="44" t="s">
        <v>2092</v>
      </c>
      <c r="E98" s="44" t="s">
        <v>1572</v>
      </c>
      <c r="F98" s="44" t="s">
        <v>1429</v>
      </c>
      <c r="G98" s="44" t="s">
        <v>1430</v>
      </c>
      <c r="I98" s="45">
        <v>44663.682170405089</v>
      </c>
      <c r="J98" s="44" t="s">
        <v>1756</v>
      </c>
      <c r="K98" s="44" t="s">
        <v>2093</v>
      </c>
      <c r="M98" s="44" t="s">
        <v>230</v>
      </c>
      <c r="N98" s="46" t="e">
        <f>VLOOKUP(M98,'Spend Export'!$B:$E,4,FALSE)</f>
        <v>#N/A</v>
      </c>
      <c r="O98" s="44" t="s">
        <v>1429</v>
      </c>
      <c r="Q98" s="44" t="s">
        <v>1429</v>
      </c>
      <c r="R98" s="44" t="s">
        <v>20</v>
      </c>
      <c r="S98" s="44" t="s">
        <v>19</v>
      </c>
      <c r="T98" s="44" t="s">
        <v>1458</v>
      </c>
      <c r="U98" s="44" t="s">
        <v>1458</v>
      </c>
      <c r="V98" s="44" t="s">
        <v>2094</v>
      </c>
      <c r="W98" s="44" t="s">
        <v>2095</v>
      </c>
      <c r="X98" s="44" t="s">
        <v>1461</v>
      </c>
      <c r="Y98" s="44" t="s">
        <v>1429</v>
      </c>
      <c r="Z98" s="44" t="s">
        <v>1429</v>
      </c>
      <c r="AA98" s="44" t="s">
        <v>1761</v>
      </c>
      <c r="AI98" s="44" t="s">
        <v>2096</v>
      </c>
      <c r="AK98" s="44" t="s">
        <v>230</v>
      </c>
    </row>
    <row r="99" spans="2:37">
      <c r="B99" s="44" t="s">
        <v>329</v>
      </c>
      <c r="C99" s="44" t="s">
        <v>329</v>
      </c>
      <c r="D99" s="44" t="s">
        <v>1466</v>
      </c>
      <c r="E99" s="44" t="s">
        <v>1207</v>
      </c>
      <c r="F99" s="44" t="s">
        <v>1429</v>
      </c>
      <c r="G99" s="44" t="s">
        <v>1430</v>
      </c>
      <c r="I99" s="45">
        <v>44603.434838576388</v>
      </c>
      <c r="J99" s="44" t="s">
        <v>1756</v>
      </c>
      <c r="K99" s="44" t="s">
        <v>2097</v>
      </c>
      <c r="M99" s="44" t="s">
        <v>330</v>
      </c>
      <c r="N99" s="46" t="e">
        <f>VLOOKUP(M99,'Spend Export'!$B:$E,4,FALSE)</f>
        <v>#N/A</v>
      </c>
      <c r="O99" s="44" t="s">
        <v>1429</v>
      </c>
      <c r="P99" s="44" t="s">
        <v>2098</v>
      </c>
      <c r="Q99" s="44" t="s">
        <v>1429</v>
      </c>
      <c r="R99" s="44" t="s">
        <v>20</v>
      </c>
      <c r="S99" s="44" t="s">
        <v>19</v>
      </c>
      <c r="T99" s="44" t="s">
        <v>1458</v>
      </c>
      <c r="U99" s="44" t="s">
        <v>1458</v>
      </c>
      <c r="V99" s="44" t="s">
        <v>2099</v>
      </c>
      <c r="W99" s="44" t="s">
        <v>2100</v>
      </c>
      <c r="X99" s="44" t="s">
        <v>1461</v>
      </c>
      <c r="Y99" s="44" t="s">
        <v>1386</v>
      </c>
      <c r="Z99" s="44" t="s">
        <v>1429</v>
      </c>
      <c r="AA99" s="44" t="s">
        <v>1761</v>
      </c>
      <c r="AI99" s="44" t="s">
        <v>2020</v>
      </c>
      <c r="AK99" s="44" t="s">
        <v>330</v>
      </c>
    </row>
    <row r="100" spans="2:37">
      <c r="B100" s="44" t="s">
        <v>658</v>
      </c>
      <c r="C100" s="44" t="s">
        <v>658</v>
      </c>
      <c r="D100" s="44" t="s">
        <v>2101</v>
      </c>
      <c r="E100" s="44" t="s">
        <v>2102</v>
      </c>
      <c r="F100" s="44" t="s">
        <v>1429</v>
      </c>
      <c r="G100" s="44" t="s">
        <v>1430</v>
      </c>
      <c r="I100" s="45">
        <v>42930.44574181713</v>
      </c>
      <c r="K100" s="44" t="s">
        <v>2103</v>
      </c>
      <c r="M100" s="44" t="s">
        <v>659</v>
      </c>
      <c r="N100" s="46">
        <f>VLOOKUP(M100,'Spend Export'!$B:$E,4,FALSE)</f>
        <v>135525.68</v>
      </c>
      <c r="O100" s="44" t="s">
        <v>1429</v>
      </c>
      <c r="P100" s="44" t="s">
        <v>2104</v>
      </c>
      <c r="Q100" s="44" t="s">
        <v>1429</v>
      </c>
      <c r="R100" s="44" t="s">
        <v>20</v>
      </c>
      <c r="S100" s="44" t="s">
        <v>19</v>
      </c>
      <c r="T100" s="44" t="s">
        <v>1502</v>
      </c>
      <c r="U100" s="44" t="s">
        <v>1502</v>
      </c>
      <c r="X100" s="44" t="s">
        <v>1439</v>
      </c>
      <c r="Y100" s="44" t="s">
        <v>1429</v>
      </c>
      <c r="Z100" s="44" t="s">
        <v>1429</v>
      </c>
      <c r="AK100" s="44" t="s">
        <v>659</v>
      </c>
    </row>
    <row r="101" spans="2:37">
      <c r="B101" s="44" t="s">
        <v>197</v>
      </c>
      <c r="C101" s="44" t="s">
        <v>197</v>
      </c>
      <c r="D101" s="44" t="s">
        <v>2105</v>
      </c>
      <c r="E101" s="44" t="s">
        <v>1883</v>
      </c>
      <c r="F101" s="44" t="s">
        <v>1429</v>
      </c>
      <c r="G101" s="44" t="s">
        <v>1430</v>
      </c>
      <c r="I101" s="45">
        <v>41016.531632789352</v>
      </c>
      <c r="K101" s="44" t="s">
        <v>2106</v>
      </c>
      <c r="M101" s="44" t="s">
        <v>198</v>
      </c>
      <c r="N101" s="46">
        <f>VLOOKUP(M101,'Spend Export'!$B:$E,4,FALSE)</f>
        <v>130896.5</v>
      </c>
      <c r="P101" s="44" t="s">
        <v>2107</v>
      </c>
      <c r="Q101" s="44" t="s">
        <v>1429</v>
      </c>
      <c r="R101" s="44" t="s">
        <v>20</v>
      </c>
      <c r="S101" s="44" t="s">
        <v>19</v>
      </c>
      <c r="T101" s="44" t="s">
        <v>1484</v>
      </c>
      <c r="U101" s="44" t="s">
        <v>1484</v>
      </c>
      <c r="X101" s="44" t="s">
        <v>1439</v>
      </c>
      <c r="Y101" s="44" t="s">
        <v>1429</v>
      </c>
      <c r="Z101" s="44" t="s">
        <v>1429</v>
      </c>
      <c r="AK101" s="44" t="s">
        <v>198</v>
      </c>
    </row>
    <row r="102" spans="2:37">
      <c r="B102" s="44" t="s">
        <v>219</v>
      </c>
      <c r="C102" s="44" t="s">
        <v>219</v>
      </c>
      <c r="D102" s="44" t="s">
        <v>1443</v>
      </c>
      <c r="E102" s="44" t="s">
        <v>1207</v>
      </c>
      <c r="F102" s="44" t="s">
        <v>1429</v>
      </c>
      <c r="G102" s="44" t="s">
        <v>1430</v>
      </c>
      <c r="I102" s="45">
        <v>44138.623889733797</v>
      </c>
      <c r="J102" s="44" t="s">
        <v>2108</v>
      </c>
      <c r="K102" s="44" t="s">
        <v>2109</v>
      </c>
      <c r="M102" s="44" t="s">
        <v>220</v>
      </c>
      <c r="N102" s="46">
        <f>VLOOKUP(M102,'Spend Export'!$B:$E,4,FALSE)</f>
        <v>129006.66</v>
      </c>
      <c r="P102" s="44" t="s">
        <v>2110</v>
      </c>
      <c r="Q102" s="44" t="s">
        <v>1429</v>
      </c>
      <c r="R102" s="44" t="s">
        <v>19</v>
      </c>
      <c r="S102" s="44" t="s">
        <v>19</v>
      </c>
      <c r="T102" s="44" t="s">
        <v>1484</v>
      </c>
      <c r="U102" s="44" t="s">
        <v>1484</v>
      </c>
      <c r="V102" s="44" t="s">
        <v>2111</v>
      </c>
      <c r="W102" s="44" t="s">
        <v>2112</v>
      </c>
      <c r="X102" s="44" t="s">
        <v>1439</v>
      </c>
      <c r="Y102" s="44" t="s">
        <v>1429</v>
      </c>
      <c r="Z102" s="44" t="s">
        <v>1429</v>
      </c>
      <c r="AI102" s="44" t="s">
        <v>2113</v>
      </c>
      <c r="AK102" s="44" t="s">
        <v>220</v>
      </c>
    </row>
    <row r="103" spans="2:37">
      <c r="B103" s="44" t="s">
        <v>1100</v>
      </c>
      <c r="C103" s="44" t="s">
        <v>1100</v>
      </c>
      <c r="D103" s="44" t="s">
        <v>2114</v>
      </c>
      <c r="E103" s="44" t="s">
        <v>1572</v>
      </c>
      <c r="F103" s="44" t="s">
        <v>1429</v>
      </c>
      <c r="G103" s="44" t="s">
        <v>1430</v>
      </c>
      <c r="I103" s="45">
        <v>44120.653621724538</v>
      </c>
      <c r="J103" s="44" t="s">
        <v>2115</v>
      </c>
      <c r="K103" s="44" t="s">
        <v>2116</v>
      </c>
      <c r="M103" s="44" t="s">
        <v>1101</v>
      </c>
      <c r="N103" s="46">
        <f>VLOOKUP(M103,'Spend Export'!$B:$E,4,FALSE)</f>
        <v>128154</v>
      </c>
      <c r="O103" s="44" t="s">
        <v>1429</v>
      </c>
      <c r="P103" s="44" t="s">
        <v>1429</v>
      </c>
      <c r="Q103" s="44" t="s">
        <v>1386</v>
      </c>
      <c r="R103" s="44" t="s">
        <v>20</v>
      </c>
      <c r="S103" s="44" t="s">
        <v>19</v>
      </c>
      <c r="T103" s="44" t="s">
        <v>2117</v>
      </c>
      <c r="U103" s="44" t="s">
        <v>1502</v>
      </c>
      <c r="V103" s="44" t="s">
        <v>2118</v>
      </c>
      <c r="W103" s="44" t="s">
        <v>2119</v>
      </c>
      <c r="X103" s="44" t="s">
        <v>1439</v>
      </c>
      <c r="Y103" s="44" t="s">
        <v>1429</v>
      </c>
      <c r="Z103" s="44" t="s">
        <v>1386</v>
      </c>
      <c r="AG103" s="44" t="s">
        <v>2115</v>
      </c>
      <c r="AI103" s="44" t="s">
        <v>2120</v>
      </c>
      <c r="AK103" s="44" t="s">
        <v>1101</v>
      </c>
    </row>
    <row r="104" spans="2:37">
      <c r="B104" s="44" t="s">
        <v>294</v>
      </c>
      <c r="C104" s="44" t="s">
        <v>294</v>
      </c>
      <c r="D104" s="44" t="s">
        <v>1428</v>
      </c>
      <c r="E104" s="44" t="s">
        <v>1207</v>
      </c>
      <c r="F104" s="44" t="s">
        <v>2121</v>
      </c>
      <c r="G104" s="44" t="s">
        <v>1430</v>
      </c>
      <c r="I104" s="45">
        <v>44239.421388773146</v>
      </c>
      <c r="J104" s="44" t="s">
        <v>1687</v>
      </c>
      <c r="K104" s="44" t="s">
        <v>2122</v>
      </c>
      <c r="M104" s="44" t="s">
        <v>295</v>
      </c>
      <c r="N104" s="46" t="e">
        <f>VLOOKUP(M104,'Spend Export'!$B:$E,4,FALSE)</f>
        <v>#N/A</v>
      </c>
      <c r="P104" s="44" t="s">
        <v>2123</v>
      </c>
      <c r="Q104" s="44" t="s">
        <v>1429</v>
      </c>
      <c r="R104" s="44" t="s">
        <v>20</v>
      </c>
      <c r="S104" s="44" t="s">
        <v>19</v>
      </c>
      <c r="T104" s="44" t="s">
        <v>1458</v>
      </c>
      <c r="U104" s="44" t="s">
        <v>1458</v>
      </c>
      <c r="V104" s="44" t="s">
        <v>2124</v>
      </c>
      <c r="W104" s="44" t="s">
        <v>2125</v>
      </c>
      <c r="X104" s="44" t="s">
        <v>1450</v>
      </c>
      <c r="Y104" s="44" t="s">
        <v>1386</v>
      </c>
      <c r="Z104" s="44" t="s">
        <v>1386</v>
      </c>
      <c r="AA104" s="44" t="s">
        <v>2126</v>
      </c>
      <c r="AG104" s="44" t="s">
        <v>1687</v>
      </c>
      <c r="AI104" s="44" t="s">
        <v>2127</v>
      </c>
      <c r="AK104" s="44" t="s">
        <v>295</v>
      </c>
    </row>
    <row r="105" spans="2:37">
      <c r="B105" s="44" t="s">
        <v>617</v>
      </c>
      <c r="C105" s="44" t="s">
        <v>617</v>
      </c>
      <c r="D105" s="44" t="s">
        <v>2128</v>
      </c>
      <c r="E105" s="44" t="s">
        <v>2072</v>
      </c>
      <c r="F105" s="44" t="s">
        <v>2129</v>
      </c>
      <c r="G105" s="44" t="s">
        <v>1430</v>
      </c>
      <c r="I105" s="45">
        <v>42359.382857523146</v>
      </c>
      <c r="K105" s="44" t="s">
        <v>2130</v>
      </c>
      <c r="M105" s="44" t="s">
        <v>618</v>
      </c>
      <c r="N105" s="46">
        <f>VLOOKUP(M105,'Spend Export'!$B:$E,4,FALSE)</f>
        <v>120751.04000000001</v>
      </c>
      <c r="P105" s="44" t="s">
        <v>2131</v>
      </c>
      <c r="Q105" s="44" t="s">
        <v>1386</v>
      </c>
      <c r="R105" s="44" t="s">
        <v>20</v>
      </c>
      <c r="S105" s="44" t="s">
        <v>19</v>
      </c>
      <c r="T105" s="44" t="s">
        <v>1502</v>
      </c>
      <c r="U105" s="44" t="s">
        <v>1502</v>
      </c>
      <c r="V105" s="44" t="s">
        <v>2132</v>
      </c>
      <c r="W105" s="44" t="s">
        <v>2133</v>
      </c>
      <c r="X105" s="44" t="s">
        <v>1450</v>
      </c>
      <c r="Y105" s="44" t="s">
        <v>1429</v>
      </c>
      <c r="Z105" s="44" t="s">
        <v>1386</v>
      </c>
      <c r="AH105" s="44" t="s">
        <v>1503</v>
      </c>
      <c r="AI105" s="44" t="s">
        <v>2134</v>
      </c>
      <c r="AK105" s="44" t="s">
        <v>618</v>
      </c>
    </row>
    <row r="106" spans="2:37">
      <c r="B106" s="44" t="s">
        <v>225</v>
      </c>
      <c r="C106" s="44" t="s">
        <v>225</v>
      </c>
      <c r="D106" s="44" t="s">
        <v>1428</v>
      </c>
      <c r="E106" s="44" t="s">
        <v>1207</v>
      </c>
      <c r="F106" s="44" t="s">
        <v>2135</v>
      </c>
      <c r="G106" s="44" t="s">
        <v>1430</v>
      </c>
      <c r="I106" s="45">
        <v>37918.858679895835</v>
      </c>
      <c r="K106" s="44" t="s">
        <v>2136</v>
      </c>
      <c r="M106" s="44" t="s">
        <v>226</v>
      </c>
      <c r="N106" s="46">
        <f>VLOOKUP(M106,'Spend Export'!$B:$E,4,FALSE)</f>
        <v>119949.42</v>
      </c>
      <c r="P106" s="44" t="s">
        <v>2137</v>
      </c>
      <c r="Q106" s="44" t="s">
        <v>1429</v>
      </c>
      <c r="R106" s="44" t="s">
        <v>20</v>
      </c>
      <c r="S106" s="44" t="s">
        <v>19</v>
      </c>
      <c r="T106" s="44" t="s">
        <v>1964</v>
      </c>
      <c r="U106" s="44" t="s">
        <v>1964</v>
      </c>
      <c r="V106" s="44" t="s">
        <v>2138</v>
      </c>
      <c r="W106" s="44" t="s">
        <v>2139</v>
      </c>
      <c r="X106" s="44" t="s">
        <v>1584</v>
      </c>
      <c r="Y106" s="44" t="s">
        <v>1429</v>
      </c>
      <c r="Z106" s="44" t="s">
        <v>1386</v>
      </c>
      <c r="AA106" s="44" t="s">
        <v>1528</v>
      </c>
      <c r="AK106" s="44" t="s">
        <v>226</v>
      </c>
    </row>
    <row r="107" spans="2:37">
      <c r="B107" s="44" t="s">
        <v>1150</v>
      </c>
      <c r="C107" s="44" t="s">
        <v>1150</v>
      </c>
      <c r="D107" s="44" t="s">
        <v>1651</v>
      </c>
      <c r="E107" s="44" t="s">
        <v>1652</v>
      </c>
      <c r="F107" s="44" t="s">
        <v>1429</v>
      </c>
      <c r="G107" s="44" t="s">
        <v>1430</v>
      </c>
      <c r="I107" s="45">
        <v>43236.607600729163</v>
      </c>
      <c r="J107" s="44" t="s">
        <v>1492</v>
      </c>
      <c r="K107" s="44" t="s">
        <v>2140</v>
      </c>
      <c r="M107" s="44" t="s">
        <v>1151</v>
      </c>
      <c r="N107" s="46" t="e">
        <f>VLOOKUP(M107,'Spend Export'!$B:$E,4,FALSE)</f>
        <v>#N/A</v>
      </c>
      <c r="P107" s="44" t="s">
        <v>2141</v>
      </c>
      <c r="Q107" s="44" t="s">
        <v>1429</v>
      </c>
      <c r="R107" s="44" t="s">
        <v>20</v>
      </c>
      <c r="S107" s="44" t="s">
        <v>19</v>
      </c>
      <c r="T107" s="44" t="s">
        <v>1701</v>
      </c>
      <c r="U107" s="44" t="s">
        <v>1458</v>
      </c>
      <c r="V107" s="44" t="s">
        <v>2142</v>
      </c>
      <c r="W107" s="44" t="s">
        <v>2143</v>
      </c>
      <c r="X107" s="44" t="s">
        <v>1450</v>
      </c>
      <c r="Y107" s="44" t="s">
        <v>1386</v>
      </c>
      <c r="Z107" s="44" t="s">
        <v>1386</v>
      </c>
      <c r="AA107" s="44" t="s">
        <v>1462</v>
      </c>
      <c r="AI107" s="44" t="s">
        <v>2144</v>
      </c>
      <c r="AK107" s="44" t="s">
        <v>1151</v>
      </c>
    </row>
    <row r="108" spans="2:37">
      <c r="B108" s="44" t="s">
        <v>274</v>
      </c>
      <c r="C108" s="44" t="s">
        <v>274</v>
      </c>
      <c r="D108" s="44" t="s">
        <v>2145</v>
      </c>
      <c r="E108" s="44" t="s">
        <v>1207</v>
      </c>
      <c r="F108" s="44" t="s">
        <v>1429</v>
      </c>
      <c r="G108" s="44" t="s">
        <v>1430</v>
      </c>
      <c r="I108" s="45">
        <v>44172.55641153935</v>
      </c>
      <c r="J108" s="44" t="s">
        <v>2146</v>
      </c>
      <c r="K108" s="44" t="s">
        <v>2147</v>
      </c>
      <c r="M108" s="44" t="s">
        <v>275</v>
      </c>
      <c r="N108" s="46">
        <f>VLOOKUP(M108,'Spend Export'!$B:$E,4,FALSE)</f>
        <v>118213.66</v>
      </c>
      <c r="P108" s="44" t="s">
        <v>2148</v>
      </c>
      <c r="Q108" s="44" t="s">
        <v>1429</v>
      </c>
      <c r="R108" s="44" t="s">
        <v>19</v>
      </c>
      <c r="S108" s="44" t="s">
        <v>19</v>
      </c>
      <c r="T108" s="44" t="s">
        <v>2149</v>
      </c>
      <c r="U108" s="44" t="s">
        <v>1484</v>
      </c>
      <c r="V108" s="44" t="s">
        <v>2150</v>
      </c>
      <c r="W108" s="44" t="s">
        <v>2151</v>
      </c>
      <c r="X108" s="44" t="s">
        <v>1461</v>
      </c>
      <c r="Y108" s="44" t="s">
        <v>1429</v>
      </c>
      <c r="Z108" s="44" t="s">
        <v>1386</v>
      </c>
      <c r="AG108" s="44" t="s">
        <v>2152</v>
      </c>
      <c r="AI108" s="44" t="s">
        <v>2153</v>
      </c>
      <c r="AK108" s="44" t="s">
        <v>275</v>
      </c>
    </row>
    <row r="109" spans="2:37">
      <c r="B109" s="44" t="s">
        <v>376</v>
      </c>
      <c r="C109" s="44" t="s">
        <v>376</v>
      </c>
      <c r="D109" s="44" t="s">
        <v>2154</v>
      </c>
      <c r="E109" s="44" t="s">
        <v>1207</v>
      </c>
      <c r="F109" s="44" t="s">
        <v>1429</v>
      </c>
      <c r="G109" s="44" t="s">
        <v>1430</v>
      </c>
      <c r="I109" s="45">
        <v>44109.451208449071</v>
      </c>
      <c r="J109" s="44" t="s">
        <v>1863</v>
      </c>
      <c r="K109" s="44" t="s">
        <v>2155</v>
      </c>
      <c r="M109" s="44" t="s">
        <v>377</v>
      </c>
      <c r="N109" s="46" t="e">
        <f>VLOOKUP(M109,'Spend Export'!$B:$E,4,FALSE)</f>
        <v>#N/A</v>
      </c>
      <c r="P109" s="44" t="s">
        <v>2156</v>
      </c>
      <c r="Q109" s="44" t="s">
        <v>1429</v>
      </c>
      <c r="R109" s="44" t="s">
        <v>20</v>
      </c>
      <c r="S109" s="44" t="s">
        <v>19</v>
      </c>
      <c r="T109" s="44" t="s">
        <v>1470</v>
      </c>
      <c r="U109" s="44" t="s">
        <v>1458</v>
      </c>
      <c r="V109" s="44" t="s">
        <v>2157</v>
      </c>
      <c r="W109" s="44" t="s">
        <v>2158</v>
      </c>
      <c r="X109" s="44" t="s">
        <v>1461</v>
      </c>
      <c r="Y109" s="44" t="s">
        <v>1429</v>
      </c>
      <c r="Z109" s="44" t="s">
        <v>1429</v>
      </c>
      <c r="AI109" s="44" t="s">
        <v>2159</v>
      </c>
      <c r="AK109" s="44" t="s">
        <v>377</v>
      </c>
    </row>
    <row r="110" spans="2:37">
      <c r="B110" s="44" t="s">
        <v>203</v>
      </c>
      <c r="C110" s="44" t="s">
        <v>203</v>
      </c>
      <c r="D110" s="44" t="s">
        <v>1443</v>
      </c>
      <c r="E110" s="44" t="s">
        <v>1207</v>
      </c>
      <c r="F110" s="44" t="s">
        <v>1429</v>
      </c>
      <c r="G110" s="44" t="s">
        <v>1430</v>
      </c>
      <c r="I110" s="45">
        <v>43483.62847920139</v>
      </c>
      <c r="J110" s="44" t="s">
        <v>1492</v>
      </c>
      <c r="K110" s="44" t="s">
        <v>2160</v>
      </c>
      <c r="M110" s="44" t="s">
        <v>204</v>
      </c>
      <c r="N110" s="46" t="e">
        <f>VLOOKUP(M110,'Spend Export'!$B:$E,4,FALSE)</f>
        <v>#N/A</v>
      </c>
      <c r="O110" s="44" t="s">
        <v>1429</v>
      </c>
      <c r="P110" s="44" t="s">
        <v>2161</v>
      </c>
      <c r="Q110" s="44" t="s">
        <v>1429</v>
      </c>
      <c r="R110" s="44" t="s">
        <v>20</v>
      </c>
      <c r="S110" s="44" t="s">
        <v>19</v>
      </c>
      <c r="T110" s="44" t="s">
        <v>1470</v>
      </c>
      <c r="U110" s="44" t="s">
        <v>1458</v>
      </c>
      <c r="V110" s="44" t="s">
        <v>2162</v>
      </c>
      <c r="W110" s="44" t="s">
        <v>2163</v>
      </c>
      <c r="X110" s="44" t="s">
        <v>1439</v>
      </c>
      <c r="Y110" s="44" t="s">
        <v>1386</v>
      </c>
      <c r="Z110" s="44" t="s">
        <v>1386</v>
      </c>
      <c r="AA110" s="44" t="s">
        <v>2164</v>
      </c>
      <c r="AI110" s="44" t="s">
        <v>2165</v>
      </c>
      <c r="AK110" s="44" t="s">
        <v>204</v>
      </c>
    </row>
    <row r="111" spans="2:37">
      <c r="B111" s="44" t="s">
        <v>190</v>
      </c>
      <c r="C111" s="44" t="s">
        <v>190</v>
      </c>
      <c r="D111" s="44" t="s">
        <v>1428</v>
      </c>
      <c r="E111" s="44" t="s">
        <v>1207</v>
      </c>
      <c r="F111" s="44" t="s">
        <v>1429</v>
      </c>
      <c r="G111" s="44" t="s">
        <v>1430</v>
      </c>
      <c r="I111" s="45">
        <v>43893.616962997687</v>
      </c>
      <c r="J111" s="44" t="s">
        <v>2166</v>
      </c>
      <c r="K111" s="44" t="s">
        <v>2167</v>
      </c>
      <c r="M111" s="44" t="s">
        <v>191</v>
      </c>
      <c r="N111" s="46">
        <f>VLOOKUP(M111,'Spend Export'!$B:$E,4,FALSE)</f>
        <v>114900</v>
      </c>
      <c r="O111" s="44" t="s">
        <v>1429</v>
      </c>
      <c r="P111" s="44" t="s">
        <v>2168</v>
      </c>
      <c r="Q111" s="44" t="s">
        <v>1429</v>
      </c>
      <c r="R111" s="44" t="s">
        <v>19</v>
      </c>
      <c r="S111" s="44" t="s">
        <v>19</v>
      </c>
      <c r="T111" s="44" t="s">
        <v>1556</v>
      </c>
      <c r="U111" s="44" t="s">
        <v>1556</v>
      </c>
      <c r="V111" s="44" t="s">
        <v>2169</v>
      </c>
      <c r="W111" s="44" t="s">
        <v>2170</v>
      </c>
      <c r="X111" s="44" t="s">
        <v>1439</v>
      </c>
      <c r="Y111" s="44" t="s">
        <v>1429</v>
      </c>
      <c r="Z111" s="44" t="s">
        <v>1429</v>
      </c>
      <c r="AG111" s="44" t="s">
        <v>1559</v>
      </c>
      <c r="AI111" s="44" t="s">
        <v>2171</v>
      </c>
      <c r="AK111" s="44" t="s">
        <v>191</v>
      </c>
    </row>
    <row r="112" spans="2:37">
      <c r="B112" s="44" t="s">
        <v>370</v>
      </c>
      <c r="C112" s="44" t="s">
        <v>370</v>
      </c>
      <c r="D112" s="44" t="s">
        <v>1428</v>
      </c>
      <c r="E112" s="44" t="s">
        <v>1207</v>
      </c>
      <c r="F112" s="44" t="s">
        <v>1429</v>
      </c>
      <c r="G112" s="44" t="s">
        <v>1430</v>
      </c>
      <c r="I112" s="45">
        <v>39486.618355671293</v>
      </c>
      <c r="K112" s="44" t="s">
        <v>2172</v>
      </c>
      <c r="M112" s="44" t="s">
        <v>371</v>
      </c>
      <c r="N112" s="46">
        <f>VLOOKUP(M112,'Spend Export'!$B:$E,4,FALSE)</f>
        <v>113290</v>
      </c>
      <c r="P112" s="44" t="s">
        <v>2173</v>
      </c>
      <c r="Q112" s="44" t="s">
        <v>1429</v>
      </c>
      <c r="R112" s="44" t="s">
        <v>20</v>
      </c>
      <c r="S112" s="44" t="s">
        <v>19</v>
      </c>
      <c r="T112" s="44" t="s">
        <v>1484</v>
      </c>
      <c r="U112" s="44" t="s">
        <v>1484</v>
      </c>
      <c r="V112" s="44" t="s">
        <v>2174</v>
      </c>
      <c r="W112" s="44" t="s">
        <v>2175</v>
      </c>
      <c r="X112" s="44" t="s">
        <v>1439</v>
      </c>
      <c r="Y112" s="44" t="s">
        <v>1429</v>
      </c>
      <c r="Z112" s="44" t="s">
        <v>1429</v>
      </c>
      <c r="AK112" s="44" t="s">
        <v>371</v>
      </c>
    </row>
    <row r="113" spans="1:37">
      <c r="B113" s="44" t="s">
        <v>631</v>
      </c>
      <c r="C113" s="44" t="s">
        <v>631</v>
      </c>
      <c r="D113" s="44" t="s">
        <v>2176</v>
      </c>
      <c r="E113" s="44" t="s">
        <v>1784</v>
      </c>
      <c r="F113" s="44" t="s">
        <v>1429</v>
      </c>
      <c r="G113" s="44" t="s">
        <v>1430</v>
      </c>
      <c r="I113" s="45">
        <v>45034.406234606482</v>
      </c>
      <c r="J113" s="44" t="s">
        <v>1785</v>
      </c>
      <c r="K113" s="44" t="s">
        <v>2177</v>
      </c>
      <c r="M113" s="44" t="s">
        <v>632</v>
      </c>
      <c r="N113" s="46">
        <f>VLOOKUP(M113,'Spend Export'!$B:$E,4,FALSE)</f>
        <v>112209.75</v>
      </c>
      <c r="O113" s="44" t="s">
        <v>1429</v>
      </c>
      <c r="P113" s="44" t="s">
        <v>1429</v>
      </c>
      <c r="Q113" s="44" t="s">
        <v>1429</v>
      </c>
      <c r="R113" s="44" t="s">
        <v>20</v>
      </c>
      <c r="S113" s="44" t="s">
        <v>19</v>
      </c>
      <c r="T113" s="44" t="s">
        <v>1484</v>
      </c>
      <c r="U113" s="44" t="s">
        <v>1484</v>
      </c>
      <c r="V113" s="44" t="s">
        <v>2178</v>
      </c>
      <c r="W113" s="44" t="s">
        <v>2179</v>
      </c>
      <c r="X113" s="44" t="s">
        <v>1439</v>
      </c>
      <c r="Y113" s="44" t="s">
        <v>1429</v>
      </c>
      <c r="Z113" s="44" t="s">
        <v>1429</v>
      </c>
      <c r="AI113" s="44" t="s">
        <v>2180</v>
      </c>
      <c r="AK113" s="44" t="s">
        <v>632</v>
      </c>
    </row>
    <row r="114" spans="1:37">
      <c r="B114" s="44" t="s">
        <v>133</v>
      </c>
      <c r="C114" s="44" t="s">
        <v>133</v>
      </c>
      <c r="D114" s="44" t="s">
        <v>2181</v>
      </c>
      <c r="E114" s="44" t="s">
        <v>1207</v>
      </c>
      <c r="F114" s="44" t="s">
        <v>2182</v>
      </c>
      <c r="G114" s="44" t="s">
        <v>1430</v>
      </c>
      <c r="I114" s="45">
        <v>42857.519121990743</v>
      </c>
      <c r="K114" s="44" t="s">
        <v>2183</v>
      </c>
      <c r="M114" s="44" t="s">
        <v>134</v>
      </c>
      <c r="N114" s="46">
        <f>VLOOKUP(M114,'Spend Export'!$B:$E,4,FALSE)</f>
        <v>108019.45000000001</v>
      </c>
      <c r="P114" s="44" t="s">
        <v>2184</v>
      </c>
      <c r="Q114" s="44" t="s">
        <v>1429</v>
      </c>
      <c r="R114" s="44" t="s">
        <v>19</v>
      </c>
      <c r="S114" s="44" t="s">
        <v>19</v>
      </c>
      <c r="T114" s="44" t="s">
        <v>2185</v>
      </c>
      <c r="U114" s="44" t="s">
        <v>1708</v>
      </c>
      <c r="V114" s="44" t="s">
        <v>2186</v>
      </c>
      <c r="W114" s="44" t="s">
        <v>2187</v>
      </c>
      <c r="X114" s="44" t="s">
        <v>1450</v>
      </c>
      <c r="Y114" s="44" t="s">
        <v>1386</v>
      </c>
      <c r="Z114" s="44" t="s">
        <v>1386</v>
      </c>
      <c r="AG114" s="44" t="s">
        <v>1981</v>
      </c>
      <c r="AI114" s="44" t="s">
        <v>2188</v>
      </c>
      <c r="AK114" s="44" t="s">
        <v>134</v>
      </c>
    </row>
    <row r="115" spans="1:37">
      <c r="B115" s="44" t="s">
        <v>260</v>
      </c>
      <c r="C115" s="44" t="s">
        <v>260</v>
      </c>
      <c r="D115" s="44" t="s">
        <v>2181</v>
      </c>
      <c r="E115" s="44" t="s">
        <v>1207</v>
      </c>
      <c r="F115" s="44" t="s">
        <v>1429</v>
      </c>
      <c r="G115" s="44" t="s">
        <v>1430</v>
      </c>
      <c r="I115" s="45">
        <v>44616.384523414352</v>
      </c>
      <c r="J115" s="44" t="s">
        <v>2189</v>
      </c>
      <c r="K115" s="44" t="s">
        <v>2190</v>
      </c>
      <c r="M115" s="44" t="s">
        <v>261</v>
      </c>
      <c r="N115" s="46">
        <f>VLOOKUP(M115,'Spend Export'!$B:$E,4,FALSE)</f>
        <v>106484.9</v>
      </c>
      <c r="O115" s="44" t="s">
        <v>1429</v>
      </c>
      <c r="P115" s="44" t="s">
        <v>1429</v>
      </c>
      <c r="Q115" s="44" t="s">
        <v>1429</v>
      </c>
      <c r="R115" s="44" t="s">
        <v>19</v>
      </c>
      <c r="S115" s="44" t="s">
        <v>19</v>
      </c>
      <c r="T115" s="44" t="s">
        <v>1484</v>
      </c>
      <c r="U115" s="44" t="s">
        <v>1484</v>
      </c>
      <c r="V115" s="44" t="s">
        <v>2191</v>
      </c>
      <c r="W115" s="44" t="s">
        <v>2192</v>
      </c>
      <c r="X115" s="44" t="s">
        <v>1439</v>
      </c>
      <c r="Y115" s="44" t="s">
        <v>1429</v>
      </c>
      <c r="Z115" s="44" t="s">
        <v>1429</v>
      </c>
      <c r="AI115" s="44" t="s">
        <v>2193</v>
      </c>
      <c r="AK115" s="44" t="s">
        <v>261</v>
      </c>
    </row>
    <row r="116" spans="1:37">
      <c r="A116" s="44" t="s">
        <v>2194</v>
      </c>
      <c r="B116" s="44" t="s">
        <v>1106</v>
      </c>
      <c r="C116" s="44" t="s">
        <v>1106</v>
      </c>
      <c r="D116" s="44" t="s">
        <v>2195</v>
      </c>
      <c r="E116" s="44" t="s">
        <v>1910</v>
      </c>
      <c r="F116" s="44" t="s">
        <v>1429</v>
      </c>
      <c r="G116" s="44" t="s">
        <v>1430</v>
      </c>
      <c r="H116" s="44" t="s">
        <v>1431</v>
      </c>
      <c r="I116" s="45">
        <v>45154.615903206017</v>
      </c>
      <c r="J116" s="44" t="s">
        <v>1785</v>
      </c>
      <c r="K116" s="44" t="s">
        <v>2196</v>
      </c>
      <c r="M116" s="44" t="s">
        <v>1107</v>
      </c>
      <c r="N116" s="46">
        <f>VLOOKUP(M116,'Spend Export'!$B:$E,4,FALSE)</f>
        <v>106140</v>
      </c>
      <c r="O116" s="44" t="s">
        <v>1429</v>
      </c>
      <c r="P116" s="44" t="s">
        <v>2197</v>
      </c>
      <c r="Q116" s="44" t="s">
        <v>1429</v>
      </c>
      <c r="R116" s="44" t="s">
        <v>20</v>
      </c>
      <c r="S116" s="44" t="s">
        <v>19</v>
      </c>
      <c r="T116" s="44" t="s">
        <v>1484</v>
      </c>
      <c r="U116" s="44" t="s">
        <v>1484</v>
      </c>
      <c r="V116" s="44" t="s">
        <v>2198</v>
      </c>
      <c r="W116" s="44" t="s">
        <v>2199</v>
      </c>
      <c r="X116" s="44" t="s">
        <v>1439</v>
      </c>
      <c r="Y116" s="44" t="s">
        <v>1429</v>
      </c>
      <c r="Z116" s="44" t="s">
        <v>1429</v>
      </c>
      <c r="AI116" s="44" t="s">
        <v>2200</v>
      </c>
      <c r="AK116" s="44" t="s">
        <v>1107</v>
      </c>
    </row>
    <row r="117" spans="1:37">
      <c r="B117" s="44" t="s">
        <v>378</v>
      </c>
      <c r="C117" s="44" t="s">
        <v>378</v>
      </c>
      <c r="D117" s="44" t="s">
        <v>2201</v>
      </c>
      <c r="E117" s="44" t="s">
        <v>1207</v>
      </c>
      <c r="F117" s="44" t="s">
        <v>1429</v>
      </c>
      <c r="G117" s="44" t="s">
        <v>1430</v>
      </c>
      <c r="I117" s="45">
        <v>44229.394857025465</v>
      </c>
      <c r="J117" s="44" t="s">
        <v>2057</v>
      </c>
      <c r="K117" s="44" t="s">
        <v>2202</v>
      </c>
      <c r="M117" s="44" t="s">
        <v>379</v>
      </c>
      <c r="N117" s="46" t="e">
        <f>VLOOKUP(M117,'Spend Export'!$B:$E,4,FALSE)</f>
        <v>#N/A</v>
      </c>
      <c r="P117" s="44" t="s">
        <v>2203</v>
      </c>
      <c r="Q117" s="44" t="s">
        <v>1429</v>
      </c>
      <c r="R117" s="44" t="s">
        <v>20</v>
      </c>
      <c r="S117" s="44" t="s">
        <v>19</v>
      </c>
      <c r="T117" s="44" t="s">
        <v>1470</v>
      </c>
      <c r="U117" s="44" t="s">
        <v>1458</v>
      </c>
      <c r="V117" s="44" t="s">
        <v>2204</v>
      </c>
      <c r="W117" s="44" t="s">
        <v>2205</v>
      </c>
      <c r="X117" s="44" t="s">
        <v>1450</v>
      </c>
      <c r="Y117" s="44" t="s">
        <v>1429</v>
      </c>
      <c r="Z117" s="44" t="s">
        <v>1429</v>
      </c>
      <c r="AI117" s="44" t="s">
        <v>2206</v>
      </c>
      <c r="AK117" s="44" t="s">
        <v>379</v>
      </c>
    </row>
    <row r="118" spans="1:37">
      <c r="B118" s="44" t="s">
        <v>492</v>
      </c>
      <c r="C118" s="44" t="s">
        <v>492</v>
      </c>
      <c r="D118" s="44" t="s">
        <v>1933</v>
      </c>
      <c r="E118" s="44" t="s">
        <v>1207</v>
      </c>
      <c r="F118" s="44" t="s">
        <v>2207</v>
      </c>
      <c r="G118" s="44" t="s">
        <v>1430</v>
      </c>
      <c r="I118" s="45">
        <v>41722.525777662035</v>
      </c>
      <c r="K118" s="44" t="s">
        <v>2208</v>
      </c>
      <c r="M118" s="44" t="s">
        <v>493</v>
      </c>
      <c r="N118" s="46">
        <f>VLOOKUP(M118,'Spend Export'!$B:$E,4,FALSE)</f>
        <v>103225.42</v>
      </c>
      <c r="P118" s="44" t="s">
        <v>2209</v>
      </c>
      <c r="Q118" s="44" t="s">
        <v>1429</v>
      </c>
      <c r="R118" s="44" t="s">
        <v>19</v>
      </c>
      <c r="S118" s="44" t="s">
        <v>19</v>
      </c>
      <c r="T118" s="44" t="s">
        <v>1708</v>
      </c>
      <c r="U118" s="44" t="s">
        <v>1708</v>
      </c>
      <c r="V118" s="44" t="s">
        <v>2210</v>
      </c>
      <c r="W118" s="44" t="s">
        <v>2211</v>
      </c>
      <c r="X118" s="44" t="s">
        <v>1461</v>
      </c>
      <c r="Y118" s="44" t="s">
        <v>1386</v>
      </c>
      <c r="Z118" s="44" t="s">
        <v>1386</v>
      </c>
      <c r="AG118" s="44" t="s">
        <v>1981</v>
      </c>
      <c r="AI118" s="44" t="s">
        <v>2212</v>
      </c>
      <c r="AK118" s="44" t="s">
        <v>493</v>
      </c>
    </row>
    <row r="119" spans="1:37">
      <c r="B119" s="44" t="s">
        <v>349</v>
      </c>
      <c r="C119" s="44" t="s">
        <v>349</v>
      </c>
      <c r="D119" s="44" t="s">
        <v>1428</v>
      </c>
      <c r="E119" s="44" t="s">
        <v>1207</v>
      </c>
      <c r="F119" s="44" t="s">
        <v>1429</v>
      </c>
      <c r="G119" s="44" t="s">
        <v>1430</v>
      </c>
      <c r="I119" s="45">
        <v>44511.503730289354</v>
      </c>
      <c r="J119" s="44" t="s">
        <v>1492</v>
      </c>
      <c r="K119" s="44" t="s">
        <v>2213</v>
      </c>
      <c r="M119" s="44" t="s">
        <v>350</v>
      </c>
      <c r="N119" s="46" t="e">
        <f>VLOOKUP(M119,'Spend Export'!$B:$E,4,FALSE)</f>
        <v>#N/A</v>
      </c>
      <c r="O119" s="44" t="s">
        <v>1429</v>
      </c>
      <c r="P119" s="44" t="s">
        <v>1429</v>
      </c>
      <c r="Q119" s="44" t="s">
        <v>1429</v>
      </c>
      <c r="R119" s="44" t="s">
        <v>20</v>
      </c>
      <c r="S119" s="44" t="s">
        <v>19</v>
      </c>
      <c r="T119" s="44" t="s">
        <v>1458</v>
      </c>
      <c r="U119" s="44" t="s">
        <v>1458</v>
      </c>
      <c r="V119" s="44" t="s">
        <v>2214</v>
      </c>
      <c r="W119" s="44" t="s">
        <v>2215</v>
      </c>
      <c r="X119" s="44" t="s">
        <v>1450</v>
      </c>
      <c r="Y119" s="44" t="s">
        <v>1429</v>
      </c>
      <c r="Z119" s="44" t="s">
        <v>1386</v>
      </c>
      <c r="AA119" s="44" t="s">
        <v>2216</v>
      </c>
      <c r="AI119" s="44" t="s">
        <v>2217</v>
      </c>
      <c r="AK119" s="44" t="s">
        <v>350</v>
      </c>
    </row>
    <row r="120" spans="1:37">
      <c r="B120" s="44" t="s">
        <v>176</v>
      </c>
      <c r="C120" s="44" t="s">
        <v>176</v>
      </c>
      <c r="D120" s="44" t="s">
        <v>1651</v>
      </c>
      <c r="E120" s="44" t="s">
        <v>1652</v>
      </c>
      <c r="F120" s="44" t="s">
        <v>2218</v>
      </c>
      <c r="G120" s="44" t="s">
        <v>1430</v>
      </c>
      <c r="I120" s="45">
        <v>37918.764126354166</v>
      </c>
      <c r="K120" s="44" t="s">
        <v>2219</v>
      </c>
      <c r="M120" s="44" t="s">
        <v>177</v>
      </c>
      <c r="N120" s="46">
        <f>VLOOKUP(M120,'Spend Export'!$B:$E,4,FALSE)</f>
        <v>99732.210000000021</v>
      </c>
      <c r="P120" s="44" t="s">
        <v>2220</v>
      </c>
      <c r="Q120" s="44" t="s">
        <v>1429</v>
      </c>
      <c r="R120" s="44" t="s">
        <v>20</v>
      </c>
      <c r="S120" s="44" t="s">
        <v>19</v>
      </c>
      <c r="T120" s="44" t="s">
        <v>1519</v>
      </c>
      <c r="U120" s="44" t="s">
        <v>1519</v>
      </c>
      <c r="V120" s="44" t="s">
        <v>2221</v>
      </c>
      <c r="W120" s="44" t="s">
        <v>2218</v>
      </c>
      <c r="X120" s="44" t="s">
        <v>1439</v>
      </c>
      <c r="Y120" s="44" t="s">
        <v>1429</v>
      </c>
      <c r="Z120" s="44" t="s">
        <v>1429</v>
      </c>
      <c r="AH120" s="44" t="s">
        <v>1488</v>
      </c>
      <c r="AK120" s="44" t="s">
        <v>177</v>
      </c>
    </row>
    <row r="121" spans="1:37">
      <c r="B121" s="44" t="s">
        <v>358</v>
      </c>
      <c r="C121" s="44" t="s">
        <v>358</v>
      </c>
      <c r="D121" s="44" t="s">
        <v>1522</v>
      </c>
      <c r="E121" s="44" t="s">
        <v>1207</v>
      </c>
      <c r="F121" s="44" t="s">
        <v>1429</v>
      </c>
      <c r="G121" s="44" t="s">
        <v>1430</v>
      </c>
      <c r="I121" s="45">
        <v>40931.541230208335</v>
      </c>
      <c r="K121" s="44" t="s">
        <v>2222</v>
      </c>
      <c r="M121" s="44" t="s">
        <v>359</v>
      </c>
      <c r="N121" s="46">
        <f>VLOOKUP(M121,'Spend Export'!$B:$E,4,FALSE)</f>
        <v>98764.15</v>
      </c>
      <c r="P121" s="44" t="s">
        <v>2223</v>
      </c>
      <c r="Q121" s="44" t="s">
        <v>1429</v>
      </c>
      <c r="R121" s="44" t="s">
        <v>19</v>
      </c>
      <c r="S121" s="44" t="s">
        <v>19</v>
      </c>
      <c r="T121" s="44" t="s">
        <v>1708</v>
      </c>
      <c r="U121" s="44" t="s">
        <v>1708</v>
      </c>
      <c r="V121" s="44" t="s">
        <v>2224</v>
      </c>
      <c r="W121" s="44" t="s">
        <v>2225</v>
      </c>
      <c r="X121" s="44" t="s">
        <v>1439</v>
      </c>
      <c r="Y121" s="44" t="s">
        <v>1429</v>
      </c>
      <c r="Z121" s="44" t="s">
        <v>1386</v>
      </c>
      <c r="AK121" s="44" t="s">
        <v>359</v>
      </c>
    </row>
    <row r="122" spans="1:37">
      <c r="B122" s="44" t="s">
        <v>288</v>
      </c>
      <c r="C122" s="44" t="s">
        <v>288</v>
      </c>
      <c r="D122" s="44" t="s">
        <v>1764</v>
      </c>
      <c r="E122" s="44" t="s">
        <v>1617</v>
      </c>
      <c r="F122" s="44" t="s">
        <v>1429</v>
      </c>
      <c r="G122" s="44" t="s">
        <v>1430</v>
      </c>
      <c r="I122" s="45">
        <v>43146.54652167824</v>
      </c>
      <c r="J122" s="44" t="s">
        <v>2226</v>
      </c>
      <c r="K122" s="44" t="s">
        <v>2227</v>
      </c>
      <c r="M122" s="44" t="s">
        <v>289</v>
      </c>
      <c r="N122" s="46" t="e">
        <f>VLOOKUP(M122,'Spend Export'!$B:$E,4,FALSE)</f>
        <v>#N/A</v>
      </c>
      <c r="P122" s="44" t="s">
        <v>2228</v>
      </c>
      <c r="Q122" s="44" t="s">
        <v>1429</v>
      </c>
      <c r="R122" s="44" t="s">
        <v>20</v>
      </c>
      <c r="S122" s="44" t="s">
        <v>19</v>
      </c>
      <c r="T122" s="44" t="s">
        <v>2229</v>
      </c>
      <c r="U122" s="44" t="s">
        <v>1458</v>
      </c>
      <c r="V122" s="44" t="s">
        <v>2230</v>
      </c>
      <c r="W122" s="44" t="s">
        <v>2231</v>
      </c>
      <c r="X122" s="44" t="s">
        <v>1439</v>
      </c>
      <c r="Y122" s="44" t="s">
        <v>1429</v>
      </c>
      <c r="Z122" s="44" t="s">
        <v>1429</v>
      </c>
      <c r="AA122" s="44" t="s">
        <v>1528</v>
      </c>
      <c r="AI122" s="44" t="s">
        <v>2232</v>
      </c>
      <c r="AK122" s="44" t="s">
        <v>289</v>
      </c>
    </row>
    <row r="123" spans="1:37">
      <c r="B123" s="44" t="s">
        <v>2233</v>
      </c>
      <c r="C123" s="44" t="s">
        <v>2233</v>
      </c>
      <c r="D123" s="44" t="s">
        <v>1522</v>
      </c>
      <c r="E123" s="44" t="s">
        <v>1207</v>
      </c>
      <c r="F123" s="44" t="s">
        <v>2234</v>
      </c>
      <c r="G123" s="44" t="s">
        <v>1430</v>
      </c>
      <c r="I123" s="45">
        <v>42656.419853391206</v>
      </c>
      <c r="K123" s="44" t="s">
        <v>2235</v>
      </c>
      <c r="M123" s="44" t="s">
        <v>196</v>
      </c>
      <c r="N123" s="46">
        <f>VLOOKUP(M123,'Spend Export'!$B:$E,4,FALSE)</f>
        <v>95562.369999999981</v>
      </c>
      <c r="P123" s="44" t="s">
        <v>2236</v>
      </c>
      <c r="Q123" s="44" t="s">
        <v>1429</v>
      </c>
      <c r="R123" s="44" t="s">
        <v>20</v>
      </c>
      <c r="S123" s="44" t="s">
        <v>19</v>
      </c>
      <c r="T123" s="44" t="s">
        <v>1484</v>
      </c>
      <c r="U123" s="44" t="s">
        <v>1484</v>
      </c>
      <c r="V123" s="44" t="s">
        <v>2237</v>
      </c>
      <c r="W123" s="44" t="s">
        <v>2238</v>
      </c>
      <c r="X123" s="44" t="s">
        <v>1450</v>
      </c>
      <c r="Y123" s="44" t="s">
        <v>1429</v>
      </c>
      <c r="Z123" s="44" t="s">
        <v>1429</v>
      </c>
      <c r="AA123" s="44" t="s">
        <v>2239</v>
      </c>
      <c r="AK123" s="44" t="s">
        <v>196</v>
      </c>
    </row>
    <row r="124" spans="1:37">
      <c r="B124" s="44" t="s">
        <v>530</v>
      </c>
      <c r="C124" s="44" t="s">
        <v>530</v>
      </c>
      <c r="D124" s="44" t="s">
        <v>1651</v>
      </c>
      <c r="E124" s="44" t="s">
        <v>1652</v>
      </c>
      <c r="F124" s="44" t="s">
        <v>1429</v>
      </c>
      <c r="G124" s="44" t="s">
        <v>1430</v>
      </c>
      <c r="I124" s="45">
        <v>43392.44990540509</v>
      </c>
      <c r="J124" s="44" t="s">
        <v>2240</v>
      </c>
      <c r="K124" s="44" t="s">
        <v>2241</v>
      </c>
      <c r="M124" s="44" t="s">
        <v>531</v>
      </c>
      <c r="N124" s="46">
        <f>VLOOKUP(M124,'Spend Export'!$B:$E,4,FALSE)</f>
        <v>93860</v>
      </c>
      <c r="P124" s="44" t="s">
        <v>2242</v>
      </c>
      <c r="Q124" s="44" t="s">
        <v>1429</v>
      </c>
      <c r="R124" s="44" t="s">
        <v>20</v>
      </c>
      <c r="S124" s="44" t="s">
        <v>19</v>
      </c>
      <c r="T124" s="44" t="s">
        <v>2243</v>
      </c>
      <c r="U124" s="44" t="s">
        <v>1484</v>
      </c>
      <c r="V124" s="44" t="s">
        <v>2244</v>
      </c>
      <c r="W124" s="44" t="s">
        <v>2245</v>
      </c>
      <c r="X124" s="44" t="s">
        <v>1450</v>
      </c>
      <c r="Y124" s="44" t="s">
        <v>1429</v>
      </c>
      <c r="Z124" s="44" t="s">
        <v>1429</v>
      </c>
      <c r="AG124" s="44" t="s">
        <v>2246</v>
      </c>
      <c r="AI124" s="44" t="s">
        <v>2247</v>
      </c>
      <c r="AK124" s="44" t="s">
        <v>531</v>
      </c>
    </row>
    <row r="125" spans="1:37">
      <c r="B125" s="44" t="s">
        <v>270</v>
      </c>
      <c r="C125" s="44" t="s">
        <v>270</v>
      </c>
      <c r="D125" s="44" t="s">
        <v>1443</v>
      </c>
      <c r="E125" s="44" t="s">
        <v>1207</v>
      </c>
      <c r="F125" s="44" t="s">
        <v>1429</v>
      </c>
      <c r="G125" s="44" t="s">
        <v>1430</v>
      </c>
      <c r="I125" s="45">
        <v>38048.763851076386</v>
      </c>
      <c r="K125" s="44" t="s">
        <v>2248</v>
      </c>
      <c r="M125" s="44" t="s">
        <v>271</v>
      </c>
      <c r="N125" s="46">
        <f>VLOOKUP(M125,'Spend Export'!$B:$E,4,FALSE)</f>
        <v>93582</v>
      </c>
      <c r="P125" s="44" t="s">
        <v>2249</v>
      </c>
      <c r="Q125" s="44" t="s">
        <v>1386</v>
      </c>
      <c r="R125" s="44" t="s">
        <v>19</v>
      </c>
      <c r="S125" s="44" t="s">
        <v>19</v>
      </c>
      <c r="T125" s="44" t="s">
        <v>1708</v>
      </c>
      <c r="U125" s="44" t="s">
        <v>1708</v>
      </c>
      <c r="V125" s="44" t="s">
        <v>2250</v>
      </c>
      <c r="W125" s="44" t="s">
        <v>2251</v>
      </c>
      <c r="X125" s="44" t="s">
        <v>1439</v>
      </c>
      <c r="Y125" s="44" t="s">
        <v>1429</v>
      </c>
      <c r="Z125" s="44" t="s">
        <v>1386</v>
      </c>
      <c r="AA125" s="44" t="s">
        <v>1452</v>
      </c>
      <c r="AE125" s="44" t="s">
        <v>1452</v>
      </c>
      <c r="AK125" s="44" t="s">
        <v>271</v>
      </c>
    </row>
    <row r="126" spans="1:37">
      <c r="B126" s="44" t="s">
        <v>861</v>
      </c>
      <c r="C126" s="44" t="s">
        <v>861</v>
      </c>
      <c r="D126" s="44" t="s">
        <v>2252</v>
      </c>
      <c r="E126" s="44" t="s">
        <v>2253</v>
      </c>
      <c r="F126" s="44" t="s">
        <v>1429</v>
      </c>
      <c r="G126" s="44" t="s">
        <v>1430</v>
      </c>
      <c r="I126" s="45">
        <v>45173.788059143517</v>
      </c>
      <c r="J126" s="44" t="s">
        <v>2254</v>
      </c>
      <c r="K126" s="44" t="s">
        <v>2255</v>
      </c>
      <c r="M126" s="44" t="s">
        <v>862</v>
      </c>
      <c r="N126" s="46">
        <f>VLOOKUP(M126,'Spend Export'!$B:$E,4,FALSE)</f>
        <v>92857.290000000008</v>
      </c>
      <c r="O126" s="44" t="s">
        <v>1429</v>
      </c>
      <c r="P126" s="44" t="s">
        <v>1429</v>
      </c>
      <c r="Q126" s="44" t="s">
        <v>1429</v>
      </c>
      <c r="R126" s="44" t="s">
        <v>19</v>
      </c>
      <c r="S126" s="44" t="s">
        <v>19</v>
      </c>
      <c r="T126" s="44" t="s">
        <v>1484</v>
      </c>
      <c r="U126" s="44" t="s">
        <v>1484</v>
      </c>
      <c r="V126" s="44" t="s">
        <v>2256</v>
      </c>
      <c r="W126" s="44" t="s">
        <v>2257</v>
      </c>
      <c r="X126" s="44" t="s">
        <v>1461</v>
      </c>
      <c r="Y126" s="44" t="s">
        <v>1386</v>
      </c>
      <c r="Z126" s="44" t="s">
        <v>1429</v>
      </c>
      <c r="AI126" s="44" t="s">
        <v>2258</v>
      </c>
      <c r="AK126" s="44" t="s">
        <v>862</v>
      </c>
    </row>
    <row r="127" spans="1:37">
      <c r="A127" s="44" t="s">
        <v>2259</v>
      </c>
      <c r="B127" s="44" t="s">
        <v>633</v>
      </c>
      <c r="C127" s="44" t="s">
        <v>633</v>
      </c>
      <c r="D127" s="44" t="s">
        <v>1466</v>
      </c>
      <c r="E127" s="44" t="s">
        <v>1207</v>
      </c>
      <c r="F127" s="44" t="s">
        <v>1429</v>
      </c>
      <c r="G127" s="44" t="s">
        <v>1430</v>
      </c>
      <c r="H127" s="44" t="s">
        <v>1431</v>
      </c>
      <c r="I127" s="45">
        <v>37918.719777430553</v>
      </c>
      <c r="K127" s="44" t="s">
        <v>2260</v>
      </c>
      <c r="L127" s="44" t="s">
        <v>2261</v>
      </c>
      <c r="M127" s="44" t="s">
        <v>634</v>
      </c>
      <c r="N127" s="46">
        <f>VLOOKUP(M127,'Spend Export'!$B:$E,4,FALSE)</f>
        <v>91986</v>
      </c>
      <c r="P127" s="44" t="s">
        <v>2262</v>
      </c>
      <c r="Q127" s="44" t="s">
        <v>1429</v>
      </c>
      <c r="R127" s="44" t="s">
        <v>20</v>
      </c>
      <c r="S127" s="44" t="s">
        <v>19</v>
      </c>
      <c r="T127" s="44" t="s">
        <v>1484</v>
      </c>
      <c r="U127" s="44" t="s">
        <v>1484</v>
      </c>
      <c r="X127" s="44" t="s">
        <v>1461</v>
      </c>
      <c r="Y127" s="44" t="s">
        <v>1429</v>
      </c>
      <c r="Z127" s="44" t="s">
        <v>1429</v>
      </c>
      <c r="AA127" s="44" t="s">
        <v>1761</v>
      </c>
      <c r="AI127" s="44" t="s">
        <v>2263</v>
      </c>
      <c r="AK127" s="44" t="s">
        <v>634</v>
      </c>
    </row>
    <row r="128" spans="1:37">
      <c r="B128" s="44" t="s">
        <v>538</v>
      </c>
      <c r="C128" s="44" t="s">
        <v>538</v>
      </c>
      <c r="D128" s="44" t="s">
        <v>2264</v>
      </c>
      <c r="E128" s="44" t="s">
        <v>1207</v>
      </c>
      <c r="F128" s="44" t="s">
        <v>1429</v>
      </c>
      <c r="G128" s="44" t="s">
        <v>1430</v>
      </c>
      <c r="I128" s="45">
        <v>43760.473705358796</v>
      </c>
      <c r="J128" s="44" t="s">
        <v>2265</v>
      </c>
      <c r="K128" s="44" t="s">
        <v>2266</v>
      </c>
      <c r="M128" s="44" t="s">
        <v>539</v>
      </c>
      <c r="N128" s="46">
        <f>VLOOKUP(M128,'Spend Export'!$B:$E,4,FALSE)</f>
        <v>91298.1</v>
      </c>
      <c r="P128" s="44" t="s">
        <v>2267</v>
      </c>
      <c r="Q128" s="44" t="s">
        <v>1429</v>
      </c>
      <c r="R128" s="44" t="s">
        <v>19</v>
      </c>
      <c r="S128" s="44" t="s">
        <v>19</v>
      </c>
      <c r="T128" s="44" t="s">
        <v>1484</v>
      </c>
      <c r="U128" s="44" t="s">
        <v>1484</v>
      </c>
      <c r="V128" s="44" t="s">
        <v>2268</v>
      </c>
      <c r="W128" s="44" t="s">
        <v>2269</v>
      </c>
      <c r="X128" s="44" t="s">
        <v>1439</v>
      </c>
      <c r="Y128" s="44" t="s">
        <v>1386</v>
      </c>
      <c r="Z128" s="44" t="s">
        <v>1429</v>
      </c>
      <c r="AC128" s="44" t="s">
        <v>2270</v>
      </c>
      <c r="AI128" s="44" t="s">
        <v>2271</v>
      </c>
      <c r="AK128" s="44" t="s">
        <v>539</v>
      </c>
    </row>
    <row r="129" spans="1:37">
      <c r="B129" s="44" t="s">
        <v>501</v>
      </c>
      <c r="C129" s="44" t="s">
        <v>501</v>
      </c>
      <c r="D129" s="44" t="s">
        <v>1933</v>
      </c>
      <c r="E129" s="44" t="s">
        <v>1207</v>
      </c>
      <c r="F129" s="44" t="s">
        <v>1429</v>
      </c>
      <c r="G129" s="44" t="s">
        <v>1430</v>
      </c>
      <c r="I129" s="45">
        <v>43746.539158217594</v>
      </c>
      <c r="J129" s="44" t="s">
        <v>2146</v>
      </c>
      <c r="K129" s="44" t="s">
        <v>2272</v>
      </c>
      <c r="M129" s="44" t="s">
        <v>502</v>
      </c>
      <c r="N129" s="46">
        <f>VLOOKUP(M129,'Spend Export'!$B:$E,4,FALSE)</f>
        <v>90807</v>
      </c>
      <c r="O129" s="44" t="s">
        <v>1429</v>
      </c>
      <c r="P129" s="44" t="s">
        <v>2273</v>
      </c>
      <c r="Q129" s="44" t="s">
        <v>1429</v>
      </c>
      <c r="R129" s="44" t="s">
        <v>19</v>
      </c>
      <c r="S129" s="44" t="s">
        <v>19</v>
      </c>
      <c r="T129" s="44" t="s">
        <v>2274</v>
      </c>
      <c r="U129" s="44" t="s">
        <v>1484</v>
      </c>
      <c r="V129" s="44" t="s">
        <v>2275</v>
      </c>
      <c r="W129" s="44" t="s">
        <v>2276</v>
      </c>
      <c r="X129" s="44" t="s">
        <v>1450</v>
      </c>
      <c r="Y129" s="44" t="s">
        <v>1386</v>
      </c>
      <c r="Z129" s="44" t="s">
        <v>1429</v>
      </c>
      <c r="AG129" s="44" t="s">
        <v>2277</v>
      </c>
      <c r="AI129" s="44" t="s">
        <v>2278</v>
      </c>
      <c r="AK129" s="44" t="s">
        <v>502</v>
      </c>
    </row>
    <row r="130" spans="1:37">
      <c r="B130" s="44" t="s">
        <v>188</v>
      </c>
      <c r="C130" s="44" t="s">
        <v>188</v>
      </c>
      <c r="D130" s="44" t="s">
        <v>1428</v>
      </c>
      <c r="E130" s="44" t="s">
        <v>1207</v>
      </c>
      <c r="F130" s="44" t="s">
        <v>2279</v>
      </c>
      <c r="G130" s="44" t="s">
        <v>1430</v>
      </c>
      <c r="I130" s="45">
        <v>38084.528648842592</v>
      </c>
      <c r="K130" s="44" t="s">
        <v>2280</v>
      </c>
      <c r="M130" s="44" t="s">
        <v>189</v>
      </c>
      <c r="N130" s="46">
        <f>VLOOKUP(M130,'Spend Export'!$B:$E,4,FALSE)</f>
        <v>89592.639999999999</v>
      </c>
      <c r="P130" s="44" t="s">
        <v>2281</v>
      </c>
      <c r="Q130" s="44" t="s">
        <v>1429</v>
      </c>
      <c r="R130" s="44" t="s">
        <v>20</v>
      </c>
      <c r="S130" s="44" t="s">
        <v>19</v>
      </c>
      <c r="T130" s="44" t="s">
        <v>1484</v>
      </c>
      <c r="U130" s="44" t="s">
        <v>1484</v>
      </c>
      <c r="V130" s="44" t="s">
        <v>2282</v>
      </c>
      <c r="W130" s="44" t="s">
        <v>2279</v>
      </c>
      <c r="X130" s="44" t="s">
        <v>2283</v>
      </c>
      <c r="Y130" s="44" t="s">
        <v>1429</v>
      </c>
      <c r="Z130" s="44" t="s">
        <v>1429</v>
      </c>
      <c r="AG130" s="44" t="s">
        <v>2284</v>
      </c>
      <c r="AK130" s="44" t="s">
        <v>189</v>
      </c>
    </row>
    <row r="131" spans="1:37">
      <c r="B131" s="44" t="s">
        <v>424</v>
      </c>
      <c r="C131" s="44" t="s">
        <v>424</v>
      </c>
      <c r="D131" s="44" t="s">
        <v>2285</v>
      </c>
      <c r="E131" s="44" t="s">
        <v>2286</v>
      </c>
      <c r="F131" s="44" t="s">
        <v>1429</v>
      </c>
      <c r="G131" s="44" t="s">
        <v>1430</v>
      </c>
      <c r="I131" s="45">
        <v>43809.629597916668</v>
      </c>
      <c r="J131" s="44" t="s">
        <v>1756</v>
      </c>
      <c r="K131" s="44" t="s">
        <v>2287</v>
      </c>
      <c r="M131" s="44" t="s">
        <v>425</v>
      </c>
      <c r="N131" s="46">
        <f>VLOOKUP(M131,'Spend Export'!$B:$E,4,FALSE)</f>
        <v>88078.52</v>
      </c>
      <c r="O131" s="44" t="s">
        <v>1429</v>
      </c>
      <c r="P131" s="44" t="s">
        <v>2288</v>
      </c>
      <c r="Q131" s="44" t="s">
        <v>1429</v>
      </c>
      <c r="R131" s="44" t="s">
        <v>19</v>
      </c>
      <c r="S131" s="44" t="s">
        <v>19</v>
      </c>
      <c r="T131" s="44" t="s">
        <v>1744</v>
      </c>
      <c r="U131" s="44" t="s">
        <v>1745</v>
      </c>
      <c r="X131" s="44" t="s">
        <v>1584</v>
      </c>
      <c r="Y131" s="44" t="s">
        <v>1429</v>
      </c>
      <c r="Z131" s="44" t="s">
        <v>1429</v>
      </c>
      <c r="AA131" s="44" t="s">
        <v>2289</v>
      </c>
      <c r="AI131" s="44" t="s">
        <v>2290</v>
      </c>
      <c r="AK131" s="44" t="s">
        <v>425</v>
      </c>
    </row>
    <row r="132" spans="1:37">
      <c r="B132" s="44" t="s">
        <v>480</v>
      </c>
      <c r="C132" s="44" t="s">
        <v>480</v>
      </c>
      <c r="D132" s="44" t="s">
        <v>1428</v>
      </c>
      <c r="E132" s="44" t="s">
        <v>1207</v>
      </c>
      <c r="F132" s="44" t="s">
        <v>1429</v>
      </c>
      <c r="G132" s="44" t="s">
        <v>1430</v>
      </c>
      <c r="I132" s="45">
        <v>44910.869474733794</v>
      </c>
      <c r="J132" s="44" t="s">
        <v>2291</v>
      </c>
      <c r="K132" s="44" t="s">
        <v>2292</v>
      </c>
      <c r="M132" s="44" t="s">
        <v>481</v>
      </c>
      <c r="N132" s="46">
        <f>VLOOKUP(M132,'Spend Export'!$B:$E,4,FALSE)</f>
        <v>87442.5</v>
      </c>
      <c r="O132" s="44" t="s">
        <v>1429</v>
      </c>
      <c r="P132" s="44" t="s">
        <v>2293</v>
      </c>
      <c r="Q132" s="44" t="s">
        <v>1429</v>
      </c>
      <c r="R132" s="44" t="s">
        <v>20</v>
      </c>
      <c r="S132" s="44" t="s">
        <v>20</v>
      </c>
      <c r="T132" s="44" t="s">
        <v>2294</v>
      </c>
      <c r="U132" s="44" t="s">
        <v>1708</v>
      </c>
      <c r="V132" s="44" t="s">
        <v>2295</v>
      </c>
      <c r="W132" s="44" t="s">
        <v>2296</v>
      </c>
      <c r="X132" s="44" t="s">
        <v>1450</v>
      </c>
      <c r="Y132" s="44" t="s">
        <v>1386</v>
      </c>
      <c r="Z132" s="44" t="s">
        <v>1386</v>
      </c>
      <c r="AI132" s="44" t="s">
        <v>2297</v>
      </c>
      <c r="AK132" s="44" t="s">
        <v>481</v>
      </c>
    </row>
    <row r="133" spans="1:37">
      <c r="B133" s="44" t="s">
        <v>117</v>
      </c>
      <c r="C133" s="44" t="s">
        <v>117</v>
      </c>
      <c r="D133" s="44" t="s">
        <v>1522</v>
      </c>
      <c r="E133" s="44" t="s">
        <v>1207</v>
      </c>
      <c r="F133" s="44" t="s">
        <v>2298</v>
      </c>
      <c r="G133" s="44" t="s">
        <v>1430</v>
      </c>
      <c r="I133" s="45">
        <v>37918.67535740741</v>
      </c>
      <c r="K133" s="44" t="s">
        <v>2299</v>
      </c>
      <c r="L133" s="44" t="s">
        <v>2300</v>
      </c>
      <c r="M133" s="44" t="s">
        <v>118</v>
      </c>
      <c r="N133" s="46">
        <f>VLOOKUP(M133,'Spend Export'!$B:$E,4,FALSE)</f>
        <v>87268.04</v>
      </c>
      <c r="P133" s="44" t="s">
        <v>2301</v>
      </c>
      <c r="Q133" s="44" t="s">
        <v>1429</v>
      </c>
      <c r="R133" s="44" t="s">
        <v>20</v>
      </c>
      <c r="S133" s="44" t="s">
        <v>19</v>
      </c>
      <c r="T133" s="44" t="s">
        <v>1519</v>
      </c>
      <c r="U133" s="44" t="s">
        <v>1519</v>
      </c>
      <c r="V133" s="44" t="s">
        <v>2302</v>
      </c>
      <c r="W133" s="44" t="s">
        <v>2298</v>
      </c>
      <c r="X133" s="44" t="s">
        <v>1439</v>
      </c>
      <c r="Y133" s="44" t="s">
        <v>1386</v>
      </c>
      <c r="Z133" s="44" t="s">
        <v>1386</v>
      </c>
      <c r="AK133" s="44" t="s">
        <v>118</v>
      </c>
    </row>
    <row r="134" spans="1:37">
      <c r="B134" s="44" t="s">
        <v>300</v>
      </c>
      <c r="C134" s="44" t="s">
        <v>300</v>
      </c>
      <c r="D134" s="44" t="s">
        <v>2303</v>
      </c>
      <c r="E134" s="44" t="s">
        <v>1207</v>
      </c>
      <c r="F134" s="44" t="s">
        <v>1429</v>
      </c>
      <c r="G134" s="44" t="s">
        <v>1430</v>
      </c>
      <c r="I134" s="45">
        <v>40221.503564351849</v>
      </c>
      <c r="K134" s="44" t="s">
        <v>2304</v>
      </c>
      <c r="M134" s="44" t="s">
        <v>301</v>
      </c>
      <c r="N134" s="46">
        <f>VLOOKUP(M134,'Spend Export'!$B:$E,4,FALSE)</f>
        <v>86643.390000000014</v>
      </c>
      <c r="P134" s="44" t="s">
        <v>2305</v>
      </c>
      <c r="Q134" s="44" t="s">
        <v>1429</v>
      </c>
      <c r="R134" s="44" t="s">
        <v>19</v>
      </c>
      <c r="S134" s="44" t="s">
        <v>19</v>
      </c>
      <c r="T134" s="44" t="s">
        <v>2306</v>
      </c>
      <c r="U134" s="44" t="s">
        <v>2307</v>
      </c>
      <c r="V134" s="44" t="s">
        <v>2308</v>
      </c>
      <c r="W134" s="44" t="s">
        <v>2309</v>
      </c>
      <c r="X134" s="44" t="s">
        <v>1461</v>
      </c>
      <c r="Y134" s="44" t="s">
        <v>1429</v>
      </c>
      <c r="Z134" s="44" t="s">
        <v>1429</v>
      </c>
      <c r="AK134" s="44" t="s">
        <v>301</v>
      </c>
    </row>
    <row r="135" spans="1:37">
      <c r="B135" s="44" t="s">
        <v>217</v>
      </c>
      <c r="C135" s="44" t="s">
        <v>217</v>
      </c>
      <c r="D135" s="44" t="s">
        <v>1466</v>
      </c>
      <c r="E135" s="44" t="s">
        <v>1207</v>
      </c>
      <c r="F135" s="44" t="s">
        <v>1429</v>
      </c>
      <c r="G135" s="44" t="s">
        <v>1430</v>
      </c>
      <c r="I135" s="45">
        <v>37918.596007638887</v>
      </c>
      <c r="K135" s="44" t="s">
        <v>2310</v>
      </c>
      <c r="L135" s="44" t="s">
        <v>2311</v>
      </c>
      <c r="M135" s="44" t="s">
        <v>218</v>
      </c>
      <c r="N135" s="46">
        <f>VLOOKUP(M135,'Spend Export'!$B:$E,4,FALSE)</f>
        <v>85651.48000000001</v>
      </c>
      <c r="O135" s="44" t="s">
        <v>1429</v>
      </c>
      <c r="P135" s="44" t="s">
        <v>2312</v>
      </c>
      <c r="Q135" s="44" t="s">
        <v>1429</v>
      </c>
      <c r="R135" s="44" t="s">
        <v>19</v>
      </c>
      <c r="S135" s="44" t="s">
        <v>19</v>
      </c>
      <c r="T135" s="44" t="s">
        <v>1964</v>
      </c>
      <c r="U135" s="44" t="s">
        <v>1964</v>
      </c>
      <c r="V135" s="44" t="s">
        <v>2313</v>
      </c>
      <c r="W135" s="44" t="s">
        <v>2314</v>
      </c>
      <c r="X135" s="44" t="s">
        <v>1439</v>
      </c>
      <c r="Y135" s="44" t="s">
        <v>1429</v>
      </c>
      <c r="Z135" s="44" t="s">
        <v>1386</v>
      </c>
      <c r="AA135" s="44" t="s">
        <v>2239</v>
      </c>
      <c r="AH135" s="44" t="s">
        <v>1488</v>
      </c>
      <c r="AI135" s="44" t="s">
        <v>2315</v>
      </c>
      <c r="AJ135" s="44" t="s">
        <v>20</v>
      </c>
      <c r="AK135" s="44" t="s">
        <v>218</v>
      </c>
    </row>
    <row r="136" spans="1:37">
      <c r="B136" s="44" t="s">
        <v>932</v>
      </c>
      <c r="C136" s="44" t="s">
        <v>932</v>
      </c>
      <c r="D136" s="44" t="s">
        <v>2029</v>
      </c>
      <c r="E136" s="44" t="s">
        <v>1572</v>
      </c>
      <c r="F136" s="44" t="s">
        <v>1429</v>
      </c>
      <c r="G136" s="44" t="s">
        <v>1430</v>
      </c>
      <c r="I136" s="45">
        <v>44378.372503206017</v>
      </c>
      <c r="J136" s="44" t="s">
        <v>1785</v>
      </c>
      <c r="K136" s="44" t="s">
        <v>2316</v>
      </c>
      <c r="M136" s="44" t="s">
        <v>933</v>
      </c>
      <c r="N136" s="46">
        <f>VLOOKUP(M136,'Spend Export'!$B:$E,4,FALSE)</f>
        <v>82261.62</v>
      </c>
      <c r="P136" s="44" t="s">
        <v>1429</v>
      </c>
      <c r="Q136" s="44" t="s">
        <v>1429</v>
      </c>
      <c r="R136" s="44" t="s">
        <v>20</v>
      </c>
      <c r="S136" s="44" t="s">
        <v>19</v>
      </c>
      <c r="T136" s="44" t="s">
        <v>1484</v>
      </c>
      <c r="U136" s="44" t="s">
        <v>1484</v>
      </c>
      <c r="V136" s="44" t="s">
        <v>2317</v>
      </c>
      <c r="W136" s="44" t="s">
        <v>2318</v>
      </c>
      <c r="X136" s="44" t="s">
        <v>1439</v>
      </c>
      <c r="Y136" s="44" t="s">
        <v>1429</v>
      </c>
      <c r="Z136" s="44" t="s">
        <v>1386</v>
      </c>
      <c r="AA136" s="44" t="s">
        <v>2319</v>
      </c>
      <c r="AG136" s="44" t="s">
        <v>1785</v>
      </c>
      <c r="AI136" s="44" t="s">
        <v>2320</v>
      </c>
      <c r="AK136" s="44" t="s">
        <v>933</v>
      </c>
    </row>
    <row r="137" spans="1:37">
      <c r="B137" s="44" t="s">
        <v>520</v>
      </c>
      <c r="C137" s="44" t="s">
        <v>520</v>
      </c>
      <c r="D137" s="44" t="s">
        <v>2321</v>
      </c>
      <c r="E137" s="44" t="s">
        <v>2322</v>
      </c>
      <c r="F137" s="44" t="s">
        <v>2323</v>
      </c>
      <c r="G137" s="44" t="s">
        <v>1430</v>
      </c>
      <c r="I137" s="45">
        <v>43158.405237303239</v>
      </c>
      <c r="J137" s="44" t="s">
        <v>2324</v>
      </c>
      <c r="K137" s="44" t="s">
        <v>2325</v>
      </c>
      <c r="L137" s="44" t="s">
        <v>2326</v>
      </c>
      <c r="M137" s="44" t="s">
        <v>521</v>
      </c>
      <c r="N137" s="46">
        <f>VLOOKUP(M137,'Spend Export'!$B:$E,4,FALSE)</f>
        <v>82188.08</v>
      </c>
      <c r="O137" s="44" t="s">
        <v>1429</v>
      </c>
      <c r="P137" s="44" t="s">
        <v>2327</v>
      </c>
      <c r="Q137" s="44" t="s">
        <v>1429</v>
      </c>
      <c r="R137" s="44" t="s">
        <v>20</v>
      </c>
      <c r="S137" s="44" t="s">
        <v>19</v>
      </c>
      <c r="T137" s="44" t="s">
        <v>2243</v>
      </c>
      <c r="U137" s="44" t="s">
        <v>1484</v>
      </c>
      <c r="V137" s="44" t="s">
        <v>2328</v>
      </c>
      <c r="W137" s="44" t="s">
        <v>2323</v>
      </c>
      <c r="X137" s="44" t="s">
        <v>1461</v>
      </c>
      <c r="Y137" s="44" t="s">
        <v>1386</v>
      </c>
      <c r="Z137" s="44" t="s">
        <v>1429</v>
      </c>
      <c r="AI137" s="44" t="s">
        <v>2329</v>
      </c>
      <c r="AK137" s="44" t="s">
        <v>521</v>
      </c>
    </row>
    <row r="138" spans="1:37">
      <c r="A138" s="44" t="s">
        <v>2330</v>
      </c>
      <c r="B138" s="44" t="s">
        <v>2330</v>
      </c>
      <c r="C138" s="44" t="s">
        <v>81</v>
      </c>
      <c r="D138" s="44" t="s">
        <v>2331</v>
      </c>
      <c r="E138" s="44" t="s">
        <v>2332</v>
      </c>
      <c r="F138" s="44" t="s">
        <v>2333</v>
      </c>
      <c r="G138" s="44" t="s">
        <v>1430</v>
      </c>
      <c r="H138" s="44" t="s">
        <v>1431</v>
      </c>
      <c r="I138" s="45">
        <v>42800.494971793982</v>
      </c>
      <c r="K138" s="44" t="s">
        <v>2334</v>
      </c>
      <c r="M138" s="44" t="s">
        <v>82</v>
      </c>
      <c r="N138" s="46">
        <f>VLOOKUP(M138,'Spend Export'!$B:$E,4,FALSE)</f>
        <v>81371.550000000017</v>
      </c>
      <c r="O138" s="44" t="s">
        <v>1429</v>
      </c>
      <c r="P138" s="44" t="s">
        <v>2335</v>
      </c>
      <c r="Q138" s="44" t="s">
        <v>1429</v>
      </c>
      <c r="R138" s="44" t="s">
        <v>20</v>
      </c>
      <c r="S138" s="44" t="s">
        <v>19</v>
      </c>
      <c r="T138" s="44" t="s">
        <v>1519</v>
      </c>
      <c r="U138" s="44" t="s">
        <v>1519</v>
      </c>
      <c r="V138" s="44" t="s">
        <v>2336</v>
      </c>
      <c r="W138" s="44" t="s">
        <v>2337</v>
      </c>
      <c r="X138" s="44" t="s">
        <v>1450</v>
      </c>
      <c r="Y138" s="44" t="s">
        <v>1429</v>
      </c>
      <c r="Z138" s="44" t="s">
        <v>1386</v>
      </c>
      <c r="AA138" s="44" t="s">
        <v>2338</v>
      </c>
      <c r="AB138" s="44" t="s">
        <v>2339</v>
      </c>
      <c r="AF138" s="44" t="s">
        <v>2340</v>
      </c>
      <c r="AK138" s="44" t="s">
        <v>82</v>
      </c>
    </row>
    <row r="139" spans="1:37">
      <c r="B139" s="44" t="s">
        <v>109</v>
      </c>
      <c r="C139" s="44" t="s">
        <v>109</v>
      </c>
      <c r="D139" s="44" t="s">
        <v>1428</v>
      </c>
      <c r="E139" s="44" t="s">
        <v>1207</v>
      </c>
      <c r="F139" s="44" t="s">
        <v>1429</v>
      </c>
      <c r="G139" s="44" t="s">
        <v>1430</v>
      </c>
      <c r="I139" s="45">
        <v>44839.622279131945</v>
      </c>
      <c r="J139" s="44" t="s">
        <v>1756</v>
      </c>
      <c r="K139" s="44" t="s">
        <v>2341</v>
      </c>
      <c r="M139" s="44" t="s">
        <v>110</v>
      </c>
      <c r="N139" s="46">
        <f>VLOOKUP(M139,'Spend Export'!$B:$E,4,FALSE)</f>
        <v>79798.609999999986</v>
      </c>
      <c r="O139" s="44" t="s">
        <v>1429</v>
      </c>
      <c r="P139" s="44" t="s">
        <v>2342</v>
      </c>
      <c r="Q139" s="44" t="s">
        <v>1429</v>
      </c>
      <c r="R139" s="44" t="s">
        <v>20</v>
      </c>
      <c r="S139" s="44" t="s">
        <v>20</v>
      </c>
      <c r="T139" s="44" t="s">
        <v>2343</v>
      </c>
      <c r="U139" s="44" t="s">
        <v>1509</v>
      </c>
      <c r="V139" s="44" t="s">
        <v>2344</v>
      </c>
      <c r="W139" s="44" t="s">
        <v>2345</v>
      </c>
      <c r="X139" s="44" t="s">
        <v>1584</v>
      </c>
      <c r="Y139" s="44" t="s">
        <v>1429</v>
      </c>
      <c r="Z139" s="44" t="s">
        <v>1386</v>
      </c>
      <c r="AI139" s="44" t="s">
        <v>2346</v>
      </c>
      <c r="AK139" s="44" t="s">
        <v>110</v>
      </c>
    </row>
    <row r="140" spans="1:37">
      <c r="B140" s="44" t="s">
        <v>331</v>
      </c>
      <c r="C140" s="44" t="s">
        <v>331</v>
      </c>
      <c r="D140" s="44" t="s">
        <v>2347</v>
      </c>
      <c r="E140" s="44" t="s">
        <v>1207</v>
      </c>
      <c r="F140" s="44" t="s">
        <v>1429</v>
      </c>
      <c r="G140" s="44" t="s">
        <v>1430</v>
      </c>
      <c r="I140" s="45">
        <v>44467.411753668981</v>
      </c>
      <c r="J140" s="44" t="s">
        <v>2348</v>
      </c>
      <c r="K140" s="44" t="s">
        <v>2349</v>
      </c>
      <c r="M140" s="44" t="s">
        <v>332</v>
      </c>
      <c r="N140" s="46">
        <f>VLOOKUP(M140,'Spend Export'!$B:$E,4,FALSE)</f>
        <v>77961.349999999991</v>
      </c>
      <c r="P140" s="44" t="s">
        <v>2350</v>
      </c>
      <c r="Q140" s="44" t="s">
        <v>1429</v>
      </c>
      <c r="R140" s="44" t="s">
        <v>20</v>
      </c>
      <c r="S140" s="44" t="s">
        <v>19</v>
      </c>
      <c r="T140" s="44" t="s">
        <v>1484</v>
      </c>
      <c r="U140" s="44" t="s">
        <v>1484</v>
      </c>
      <c r="V140" s="44" t="s">
        <v>2351</v>
      </c>
      <c r="W140" s="44" t="s">
        <v>2352</v>
      </c>
      <c r="X140" s="44" t="s">
        <v>1450</v>
      </c>
      <c r="Y140" s="44" t="s">
        <v>1386</v>
      </c>
      <c r="Z140" s="44" t="s">
        <v>1429</v>
      </c>
      <c r="AG140" s="44" t="s">
        <v>2348</v>
      </c>
      <c r="AI140" s="44" t="s">
        <v>2353</v>
      </c>
      <c r="AK140" s="44" t="s">
        <v>332</v>
      </c>
    </row>
    <row r="141" spans="1:37">
      <c r="B141" s="44" t="s">
        <v>1015</v>
      </c>
      <c r="C141" s="44" t="s">
        <v>1015</v>
      </c>
      <c r="D141" s="44" t="s">
        <v>2354</v>
      </c>
      <c r="E141" s="44" t="s">
        <v>1682</v>
      </c>
      <c r="F141" s="44" t="s">
        <v>1429</v>
      </c>
      <c r="G141" s="44" t="s">
        <v>1430</v>
      </c>
      <c r="I141" s="45">
        <v>45113.385161111109</v>
      </c>
      <c r="J141" s="44" t="s">
        <v>1785</v>
      </c>
      <c r="K141" s="44" t="s">
        <v>2355</v>
      </c>
      <c r="M141" s="44" t="s">
        <v>1016</v>
      </c>
      <c r="N141" s="46">
        <f>VLOOKUP(M141,'Spend Export'!$B:$E,4,FALSE)</f>
        <v>77879.12</v>
      </c>
      <c r="O141" s="44" t="s">
        <v>1429</v>
      </c>
      <c r="P141" s="44" t="s">
        <v>2356</v>
      </c>
      <c r="Q141" s="44" t="s">
        <v>1429</v>
      </c>
      <c r="R141" s="44" t="s">
        <v>20</v>
      </c>
      <c r="S141" s="44" t="s">
        <v>19</v>
      </c>
      <c r="T141" s="44" t="s">
        <v>1556</v>
      </c>
      <c r="U141" s="44" t="s">
        <v>1556</v>
      </c>
      <c r="V141" s="44" t="s">
        <v>2357</v>
      </c>
      <c r="W141" s="44" t="s">
        <v>2358</v>
      </c>
      <c r="X141" s="44" t="s">
        <v>1461</v>
      </c>
      <c r="Y141" s="44" t="s">
        <v>1429</v>
      </c>
      <c r="Z141" s="44" t="s">
        <v>1429</v>
      </c>
      <c r="AI141" s="44" t="s">
        <v>2359</v>
      </c>
      <c r="AK141" s="44" t="s">
        <v>1016</v>
      </c>
    </row>
    <row r="142" spans="1:37">
      <c r="B142" s="44" t="s">
        <v>596</v>
      </c>
      <c r="C142" s="44" t="s">
        <v>596</v>
      </c>
      <c r="D142" s="44" t="s">
        <v>1428</v>
      </c>
      <c r="E142" s="44" t="s">
        <v>1207</v>
      </c>
      <c r="F142" s="44" t="s">
        <v>2360</v>
      </c>
      <c r="G142" s="44" t="s">
        <v>1430</v>
      </c>
      <c r="I142" s="45">
        <v>39002.617660798613</v>
      </c>
      <c r="K142" s="44" t="s">
        <v>2361</v>
      </c>
      <c r="M142" s="44" t="s">
        <v>597</v>
      </c>
      <c r="N142" s="46">
        <f>VLOOKUP(M142,'Spend Export'!$B:$E,4,FALSE)</f>
        <v>77497.17</v>
      </c>
      <c r="P142" s="44" t="s">
        <v>2362</v>
      </c>
      <c r="Q142" s="44" t="s">
        <v>1429</v>
      </c>
      <c r="R142" s="44" t="s">
        <v>20</v>
      </c>
      <c r="S142" s="44" t="s">
        <v>19</v>
      </c>
      <c r="T142" s="44" t="s">
        <v>1556</v>
      </c>
      <c r="U142" s="44" t="s">
        <v>1556</v>
      </c>
      <c r="X142" s="44" t="s">
        <v>1439</v>
      </c>
      <c r="Y142" s="44" t="s">
        <v>1429</v>
      </c>
      <c r="Z142" s="44" t="s">
        <v>1429</v>
      </c>
      <c r="AK142" s="44" t="s">
        <v>597</v>
      </c>
    </row>
    <row r="143" spans="1:37">
      <c r="B143" s="44" t="s">
        <v>1186</v>
      </c>
      <c r="C143" s="44" t="s">
        <v>1186</v>
      </c>
      <c r="D143" s="44" t="s">
        <v>1490</v>
      </c>
      <c r="E143" s="44" t="s">
        <v>1491</v>
      </c>
      <c r="F143" s="44" t="s">
        <v>1429</v>
      </c>
      <c r="G143" s="44" t="s">
        <v>1430</v>
      </c>
      <c r="I143" s="45">
        <v>44015.530338275465</v>
      </c>
      <c r="J143" s="44" t="s">
        <v>2057</v>
      </c>
      <c r="K143" s="44" t="s">
        <v>2363</v>
      </c>
      <c r="M143" s="44" t="s">
        <v>1187</v>
      </c>
      <c r="N143" s="46">
        <f>VLOOKUP(M143,'Spend Export'!$B:$E,4,FALSE)</f>
        <v>77126.37</v>
      </c>
      <c r="P143" s="44" t="s">
        <v>2364</v>
      </c>
      <c r="Q143" s="44" t="s">
        <v>1429</v>
      </c>
      <c r="R143" s="44" t="s">
        <v>20</v>
      </c>
      <c r="S143" s="44" t="s">
        <v>19</v>
      </c>
      <c r="T143" s="44" t="s">
        <v>1484</v>
      </c>
      <c r="U143" s="44" t="s">
        <v>1484</v>
      </c>
      <c r="V143" s="44" t="s">
        <v>2365</v>
      </c>
      <c r="W143" s="44" t="s">
        <v>2366</v>
      </c>
      <c r="X143" s="44" t="s">
        <v>1450</v>
      </c>
      <c r="Y143" s="44" t="s">
        <v>1429</v>
      </c>
      <c r="Z143" s="44" t="s">
        <v>1429</v>
      </c>
      <c r="AI143" s="44" t="s">
        <v>2367</v>
      </c>
      <c r="AK143" s="44" t="s">
        <v>1187</v>
      </c>
    </row>
    <row r="144" spans="1:37">
      <c r="B144" s="44" t="s">
        <v>562</v>
      </c>
      <c r="C144" s="44" t="s">
        <v>562</v>
      </c>
      <c r="D144" s="44" t="s">
        <v>2086</v>
      </c>
      <c r="E144" s="44" t="s">
        <v>1682</v>
      </c>
      <c r="F144" s="44" t="s">
        <v>2368</v>
      </c>
      <c r="G144" s="44" t="s">
        <v>1430</v>
      </c>
      <c r="I144" s="45">
        <v>38219.386219131942</v>
      </c>
      <c r="K144" s="44" t="s">
        <v>2369</v>
      </c>
      <c r="M144" s="44" t="s">
        <v>563</v>
      </c>
      <c r="N144" s="46">
        <f>VLOOKUP(M144,'Spend Export'!$B:$E,4,FALSE)</f>
        <v>76874.83</v>
      </c>
      <c r="P144" s="44" t="s">
        <v>2370</v>
      </c>
      <c r="Q144" s="44" t="s">
        <v>1429</v>
      </c>
      <c r="R144" s="44" t="s">
        <v>20</v>
      </c>
      <c r="S144" s="44" t="s">
        <v>19</v>
      </c>
      <c r="T144" s="44" t="s">
        <v>1484</v>
      </c>
      <c r="U144" s="44" t="s">
        <v>1484</v>
      </c>
      <c r="V144" s="44" t="s">
        <v>2371</v>
      </c>
      <c r="W144" s="44" t="s">
        <v>2372</v>
      </c>
      <c r="X144" s="44" t="s">
        <v>1439</v>
      </c>
      <c r="Y144" s="44" t="s">
        <v>1429</v>
      </c>
      <c r="Z144" s="44" t="s">
        <v>1429</v>
      </c>
      <c r="AA144" s="44" t="s">
        <v>2373</v>
      </c>
      <c r="AK144" s="44" t="s">
        <v>563</v>
      </c>
    </row>
    <row r="145" spans="1:37">
      <c r="B145" s="44" t="s">
        <v>433</v>
      </c>
      <c r="C145" s="44" t="s">
        <v>433</v>
      </c>
      <c r="D145" s="44" t="s">
        <v>1490</v>
      </c>
      <c r="E145" s="44" t="s">
        <v>1491</v>
      </c>
      <c r="F145" s="44" t="s">
        <v>1429</v>
      </c>
      <c r="G145" s="44" t="s">
        <v>1430</v>
      </c>
      <c r="I145" s="45">
        <v>44991.595051701392</v>
      </c>
      <c r="J145" s="44" t="s">
        <v>1687</v>
      </c>
      <c r="K145" s="44" t="s">
        <v>2374</v>
      </c>
      <c r="M145" s="44" t="s">
        <v>434</v>
      </c>
      <c r="N145" s="46" t="e">
        <f>VLOOKUP(M145,'Spend Export'!$B:$E,4,FALSE)</f>
        <v>#N/A</v>
      </c>
      <c r="O145" s="44" t="s">
        <v>1429</v>
      </c>
      <c r="P145" s="44" t="s">
        <v>2375</v>
      </c>
      <c r="Q145" s="44" t="s">
        <v>1429</v>
      </c>
      <c r="R145" s="44" t="s">
        <v>20</v>
      </c>
      <c r="S145" s="44" t="s">
        <v>19</v>
      </c>
      <c r="T145" s="44" t="s">
        <v>1458</v>
      </c>
      <c r="U145" s="44" t="s">
        <v>1458</v>
      </c>
      <c r="V145" s="44" t="s">
        <v>2376</v>
      </c>
      <c r="W145" s="44" t="s">
        <v>2377</v>
      </c>
      <c r="X145" s="44" t="s">
        <v>1450</v>
      </c>
      <c r="Y145" s="44" t="s">
        <v>1429</v>
      </c>
      <c r="Z145" s="44" t="s">
        <v>1386</v>
      </c>
      <c r="AG145" s="44" t="s">
        <v>2378</v>
      </c>
      <c r="AI145" s="44" t="s">
        <v>2379</v>
      </c>
      <c r="AK145" s="44" t="s">
        <v>434</v>
      </c>
    </row>
    <row r="146" spans="1:37">
      <c r="B146" s="44" t="s">
        <v>678</v>
      </c>
      <c r="C146" s="44" t="s">
        <v>678</v>
      </c>
      <c r="D146" s="44" t="s">
        <v>2354</v>
      </c>
      <c r="E146" s="44" t="s">
        <v>1682</v>
      </c>
      <c r="F146" s="44" t="s">
        <v>1429</v>
      </c>
      <c r="G146" s="44" t="s">
        <v>1430</v>
      </c>
      <c r="I146" s="45">
        <v>45204.564413229164</v>
      </c>
      <c r="J146" s="44" t="s">
        <v>1785</v>
      </c>
      <c r="K146" s="44" t="s">
        <v>2380</v>
      </c>
      <c r="M146" s="44" t="s">
        <v>679</v>
      </c>
      <c r="N146" s="46">
        <f>VLOOKUP(M146,'Spend Export'!$B:$E,4,FALSE)</f>
        <v>75727.81</v>
      </c>
      <c r="O146" s="44" t="s">
        <v>1429</v>
      </c>
      <c r="P146" s="44" t="s">
        <v>2381</v>
      </c>
      <c r="Q146" s="44" t="s">
        <v>1429</v>
      </c>
      <c r="R146" s="44" t="s">
        <v>20</v>
      </c>
      <c r="S146" s="44" t="s">
        <v>19</v>
      </c>
      <c r="T146" s="44" t="s">
        <v>1556</v>
      </c>
      <c r="U146" s="44" t="s">
        <v>1556</v>
      </c>
      <c r="V146" s="44" t="s">
        <v>2382</v>
      </c>
      <c r="W146" s="44" t="s">
        <v>2383</v>
      </c>
      <c r="X146" s="44" t="s">
        <v>1450</v>
      </c>
      <c r="Y146" s="44" t="s">
        <v>1429</v>
      </c>
      <c r="Z146" s="44" t="s">
        <v>1429</v>
      </c>
      <c r="AI146" s="44" t="s">
        <v>2384</v>
      </c>
      <c r="AK146" s="44" t="s">
        <v>679</v>
      </c>
    </row>
    <row r="147" spans="1:37">
      <c r="B147" s="44" t="s">
        <v>1068</v>
      </c>
      <c r="C147" s="44" t="s">
        <v>1068</v>
      </c>
      <c r="D147" s="44" t="s">
        <v>2385</v>
      </c>
      <c r="E147" s="44" t="s">
        <v>1682</v>
      </c>
      <c r="F147" s="44" t="s">
        <v>1429</v>
      </c>
      <c r="G147" s="44" t="s">
        <v>1430</v>
      </c>
      <c r="I147" s="45">
        <v>45155.618415358796</v>
      </c>
      <c r="J147" s="44" t="s">
        <v>1785</v>
      </c>
      <c r="K147" s="44" t="s">
        <v>2386</v>
      </c>
      <c r="M147" s="44" t="s">
        <v>1069</v>
      </c>
      <c r="N147" s="46">
        <f>VLOOKUP(M147,'Spend Export'!$B:$E,4,FALSE)</f>
        <v>70139</v>
      </c>
      <c r="O147" s="44" t="s">
        <v>1429</v>
      </c>
      <c r="P147" s="44" t="s">
        <v>2387</v>
      </c>
      <c r="Q147" s="44" t="s">
        <v>1429</v>
      </c>
      <c r="R147" s="44" t="s">
        <v>20</v>
      </c>
      <c r="S147" s="44" t="s">
        <v>19</v>
      </c>
      <c r="T147" s="44" t="s">
        <v>1556</v>
      </c>
      <c r="U147" s="44" t="s">
        <v>1556</v>
      </c>
      <c r="V147" s="44" t="s">
        <v>2388</v>
      </c>
      <c r="W147" s="44" t="s">
        <v>2389</v>
      </c>
      <c r="X147" s="44" t="s">
        <v>1439</v>
      </c>
      <c r="Y147" s="44" t="s">
        <v>1429</v>
      </c>
      <c r="Z147" s="44" t="s">
        <v>1429</v>
      </c>
      <c r="AI147" s="44" t="s">
        <v>2390</v>
      </c>
      <c r="AK147" s="44" t="s">
        <v>1069</v>
      </c>
    </row>
    <row r="148" spans="1:37">
      <c r="B148" s="44" t="s">
        <v>684</v>
      </c>
      <c r="C148" s="44" t="s">
        <v>684</v>
      </c>
      <c r="D148" s="44" t="s">
        <v>2391</v>
      </c>
      <c r="E148" s="44" t="s">
        <v>1617</v>
      </c>
      <c r="F148" s="44" t="s">
        <v>1429</v>
      </c>
      <c r="G148" s="44" t="s">
        <v>1430</v>
      </c>
      <c r="I148" s="45">
        <v>42156.422017048608</v>
      </c>
      <c r="K148" s="44" t="s">
        <v>2392</v>
      </c>
      <c r="M148" s="44" t="s">
        <v>685</v>
      </c>
      <c r="N148" s="46">
        <f>VLOOKUP(M148,'Spend Export'!$B:$E,4,FALSE)</f>
        <v>70107.63</v>
      </c>
      <c r="P148" s="44" t="s">
        <v>2393</v>
      </c>
      <c r="Q148" s="44" t="s">
        <v>1429</v>
      </c>
      <c r="R148" s="44" t="s">
        <v>20</v>
      </c>
      <c r="S148" s="44" t="s">
        <v>19</v>
      </c>
      <c r="T148" s="44" t="s">
        <v>1556</v>
      </c>
      <c r="U148" s="44" t="s">
        <v>1556</v>
      </c>
      <c r="V148" s="44" t="s">
        <v>2394</v>
      </c>
      <c r="W148" s="44" t="s">
        <v>2395</v>
      </c>
      <c r="X148" s="44" t="s">
        <v>1439</v>
      </c>
      <c r="Y148" s="44" t="s">
        <v>1429</v>
      </c>
      <c r="Z148" s="44" t="s">
        <v>1429</v>
      </c>
      <c r="AK148" s="44" t="s">
        <v>685</v>
      </c>
    </row>
    <row r="149" spans="1:37">
      <c r="B149" s="44" t="s">
        <v>147</v>
      </c>
      <c r="C149" s="44" t="s">
        <v>147</v>
      </c>
      <c r="D149" s="44" t="s">
        <v>1562</v>
      </c>
      <c r="E149" s="44" t="s">
        <v>1207</v>
      </c>
      <c r="F149" s="44" t="s">
        <v>1429</v>
      </c>
      <c r="G149" s="44" t="s">
        <v>1430</v>
      </c>
      <c r="I149" s="45">
        <v>41397.36233773148</v>
      </c>
      <c r="K149" s="44" t="s">
        <v>2396</v>
      </c>
      <c r="M149" s="44" t="s">
        <v>148</v>
      </c>
      <c r="N149" s="46">
        <f>VLOOKUP(M149,'Spend Export'!$B:$E,4,FALSE)</f>
        <v>69170</v>
      </c>
      <c r="P149" s="44" t="s">
        <v>2397</v>
      </c>
      <c r="Q149" s="44" t="s">
        <v>1429</v>
      </c>
      <c r="R149" s="44" t="s">
        <v>20</v>
      </c>
      <c r="S149" s="44" t="s">
        <v>19</v>
      </c>
      <c r="T149" s="44" t="s">
        <v>1484</v>
      </c>
      <c r="U149" s="44" t="s">
        <v>1484</v>
      </c>
      <c r="X149" s="44" t="s">
        <v>1461</v>
      </c>
      <c r="Y149" s="44" t="s">
        <v>1429</v>
      </c>
      <c r="Z149" s="44" t="s">
        <v>1429</v>
      </c>
      <c r="AK149" s="44" t="s">
        <v>148</v>
      </c>
    </row>
    <row r="150" spans="1:37">
      <c r="A150" s="44" t="s">
        <v>2398</v>
      </c>
      <c r="B150" s="44" t="s">
        <v>256</v>
      </c>
      <c r="C150" s="44" t="s">
        <v>256</v>
      </c>
      <c r="D150" s="44" t="s">
        <v>2399</v>
      </c>
      <c r="E150" s="44" t="s">
        <v>2400</v>
      </c>
      <c r="F150" s="44" t="s">
        <v>1429</v>
      </c>
      <c r="G150" s="44" t="s">
        <v>1430</v>
      </c>
      <c r="H150" s="44" t="s">
        <v>1431</v>
      </c>
      <c r="I150" s="45">
        <v>41813.378499571758</v>
      </c>
      <c r="K150" s="44" t="s">
        <v>2401</v>
      </c>
      <c r="M150" s="44" t="s">
        <v>257</v>
      </c>
      <c r="N150" s="46">
        <f>VLOOKUP(M150,'Spend Export'!$B:$E,4,FALSE)</f>
        <v>67330</v>
      </c>
      <c r="P150" s="44" t="s">
        <v>2402</v>
      </c>
      <c r="Q150" s="44" t="s">
        <v>1429</v>
      </c>
      <c r="R150" s="44" t="s">
        <v>20</v>
      </c>
      <c r="S150" s="44" t="s">
        <v>19</v>
      </c>
      <c r="T150" s="44" t="s">
        <v>1484</v>
      </c>
      <c r="U150" s="44" t="s">
        <v>1484</v>
      </c>
      <c r="X150" s="44" t="s">
        <v>1450</v>
      </c>
      <c r="Y150" s="44" t="s">
        <v>1429</v>
      </c>
      <c r="Z150" s="44" t="s">
        <v>1429</v>
      </c>
      <c r="AK150" s="44" t="s">
        <v>257</v>
      </c>
    </row>
    <row r="151" spans="1:37">
      <c r="B151" s="44" t="s">
        <v>215</v>
      </c>
      <c r="C151" s="44" t="s">
        <v>215</v>
      </c>
      <c r="D151" s="44" t="s">
        <v>1428</v>
      </c>
      <c r="E151" s="44" t="s">
        <v>1207</v>
      </c>
      <c r="F151" s="44" t="s">
        <v>1429</v>
      </c>
      <c r="G151" s="44" t="s">
        <v>1430</v>
      </c>
      <c r="I151" s="45">
        <v>37918.756633877318</v>
      </c>
      <c r="K151" s="44" t="s">
        <v>2403</v>
      </c>
      <c r="M151" s="44" t="s">
        <v>216</v>
      </c>
      <c r="N151" s="46">
        <f>VLOOKUP(M151,'Spend Export'!$B:$E,4,FALSE)</f>
        <v>66900</v>
      </c>
      <c r="O151" s="44" t="s">
        <v>1429</v>
      </c>
      <c r="P151" s="44" t="s">
        <v>2404</v>
      </c>
      <c r="Q151" s="44" t="s">
        <v>1429</v>
      </c>
      <c r="R151" s="44" t="s">
        <v>20</v>
      </c>
      <c r="S151" s="44" t="s">
        <v>19</v>
      </c>
      <c r="T151" s="44" t="s">
        <v>1484</v>
      </c>
      <c r="U151" s="44" t="s">
        <v>1484</v>
      </c>
      <c r="V151" s="44" t="s">
        <v>2405</v>
      </c>
      <c r="W151" s="44" t="s">
        <v>2406</v>
      </c>
      <c r="X151" s="44" t="s">
        <v>1439</v>
      </c>
      <c r="Y151" s="44" t="s">
        <v>1386</v>
      </c>
      <c r="Z151" s="44" t="s">
        <v>1429</v>
      </c>
      <c r="AK151" s="44" t="s">
        <v>216</v>
      </c>
    </row>
    <row r="152" spans="1:37">
      <c r="B152" s="44" t="s">
        <v>154</v>
      </c>
      <c r="C152" s="44" t="s">
        <v>154</v>
      </c>
      <c r="D152" s="44" t="s">
        <v>1428</v>
      </c>
      <c r="E152" s="44" t="s">
        <v>1207</v>
      </c>
      <c r="F152" s="44" t="s">
        <v>1429</v>
      </c>
      <c r="G152" s="44" t="s">
        <v>1430</v>
      </c>
      <c r="I152" s="45">
        <v>37918.907749537037</v>
      </c>
      <c r="K152" s="44" t="s">
        <v>2407</v>
      </c>
      <c r="L152" s="44" t="s">
        <v>2408</v>
      </c>
      <c r="M152" s="44" t="s">
        <v>155</v>
      </c>
      <c r="N152" s="46">
        <f>VLOOKUP(M152,'Spend Export'!$B:$E,4,FALSE)</f>
        <v>64769.990000000005</v>
      </c>
      <c r="P152" s="44" t="s">
        <v>2409</v>
      </c>
      <c r="Q152" s="44" t="s">
        <v>1386</v>
      </c>
      <c r="R152" s="44" t="s">
        <v>19</v>
      </c>
      <c r="S152" s="44" t="s">
        <v>19</v>
      </c>
      <c r="T152" s="44" t="s">
        <v>1708</v>
      </c>
      <c r="U152" s="44" t="s">
        <v>1708</v>
      </c>
      <c r="V152" s="44" t="s">
        <v>2410</v>
      </c>
      <c r="W152" s="44" t="s">
        <v>2411</v>
      </c>
      <c r="X152" s="44" t="s">
        <v>1450</v>
      </c>
      <c r="Y152" s="44" t="s">
        <v>1429</v>
      </c>
      <c r="Z152" s="44" t="s">
        <v>1429</v>
      </c>
      <c r="AH152" s="44" t="s">
        <v>1488</v>
      </c>
      <c r="AK152" s="44" t="s">
        <v>155</v>
      </c>
    </row>
    <row r="153" spans="1:37">
      <c r="B153" s="44" t="s">
        <v>282</v>
      </c>
      <c r="C153" s="44" t="s">
        <v>282</v>
      </c>
      <c r="D153" s="44" t="s">
        <v>1443</v>
      </c>
      <c r="E153" s="44" t="s">
        <v>1207</v>
      </c>
      <c r="F153" s="44" t="s">
        <v>2412</v>
      </c>
      <c r="G153" s="44" t="s">
        <v>1430</v>
      </c>
      <c r="I153" s="45">
        <v>39532.487980092592</v>
      </c>
      <c r="K153" s="44" t="s">
        <v>2413</v>
      </c>
      <c r="M153" s="44" t="s">
        <v>283</v>
      </c>
      <c r="N153" s="46">
        <f>VLOOKUP(M153,'Spend Export'!$B:$E,4,FALSE)</f>
        <v>62170.5</v>
      </c>
      <c r="P153" s="44" t="s">
        <v>2414</v>
      </c>
      <c r="Q153" s="44" t="s">
        <v>1429</v>
      </c>
      <c r="R153" s="44" t="s">
        <v>19</v>
      </c>
      <c r="S153" s="44" t="s">
        <v>19</v>
      </c>
      <c r="T153" s="44" t="s">
        <v>1708</v>
      </c>
      <c r="U153" s="44" t="s">
        <v>1708</v>
      </c>
      <c r="V153" s="44" t="s">
        <v>2415</v>
      </c>
      <c r="W153" s="44" t="s">
        <v>2416</v>
      </c>
      <c r="X153" s="44" t="s">
        <v>1439</v>
      </c>
      <c r="Y153" s="44" t="s">
        <v>1386</v>
      </c>
      <c r="Z153" s="44" t="s">
        <v>1386</v>
      </c>
      <c r="AK153" s="44" t="s">
        <v>283</v>
      </c>
    </row>
    <row r="154" spans="1:37">
      <c r="B154" s="44" t="s">
        <v>1136</v>
      </c>
      <c r="C154" s="44" t="s">
        <v>1136</v>
      </c>
      <c r="D154" s="44" t="s">
        <v>2417</v>
      </c>
      <c r="E154" s="44" t="s">
        <v>1499</v>
      </c>
      <c r="G154" s="44" t="s">
        <v>1430</v>
      </c>
      <c r="I154" s="45">
        <v>44826.539811655093</v>
      </c>
      <c r="J154" s="44" t="s">
        <v>2418</v>
      </c>
      <c r="K154" s="44" t="s">
        <v>2419</v>
      </c>
      <c r="M154" s="44" t="s">
        <v>1137</v>
      </c>
      <c r="N154" s="46">
        <f>VLOOKUP(M154,'Spend Export'!$B:$E,4,FALSE)</f>
        <v>61442.2</v>
      </c>
      <c r="P154" s="44" t="s">
        <v>2420</v>
      </c>
      <c r="Q154" s="44" t="s">
        <v>1429</v>
      </c>
      <c r="R154" s="44" t="s">
        <v>20</v>
      </c>
      <c r="S154" s="44" t="s">
        <v>20</v>
      </c>
      <c r="T154" s="44" t="s">
        <v>1708</v>
      </c>
      <c r="U154" s="44" t="s">
        <v>1708</v>
      </c>
      <c r="X154" s="44" t="s">
        <v>1450</v>
      </c>
      <c r="Y154" s="44" t="s">
        <v>1429</v>
      </c>
      <c r="Z154" s="44" t="s">
        <v>1429</v>
      </c>
      <c r="AI154" s="44" t="s">
        <v>2421</v>
      </c>
      <c r="AK154" s="44" t="s">
        <v>1137</v>
      </c>
    </row>
    <row r="155" spans="1:37">
      <c r="B155" s="44" t="s">
        <v>615</v>
      </c>
      <c r="C155" s="44" t="s">
        <v>615</v>
      </c>
      <c r="D155" s="44" t="s">
        <v>1466</v>
      </c>
      <c r="E155" s="44" t="s">
        <v>1207</v>
      </c>
      <c r="G155" s="44" t="s">
        <v>1430</v>
      </c>
      <c r="I155" s="45">
        <v>44636.541036840281</v>
      </c>
      <c r="J155" s="44" t="s">
        <v>1756</v>
      </c>
      <c r="K155" s="44" t="s">
        <v>2422</v>
      </c>
      <c r="M155" s="44" t="s">
        <v>616</v>
      </c>
      <c r="N155" s="46" t="e">
        <f>VLOOKUP(M155,'Spend Export'!$B:$E,4,FALSE)</f>
        <v>#N/A</v>
      </c>
      <c r="P155" s="44" t="s">
        <v>2423</v>
      </c>
      <c r="Q155" s="44" t="s">
        <v>1429</v>
      </c>
      <c r="R155" s="44" t="s">
        <v>20</v>
      </c>
      <c r="S155" s="44" t="s">
        <v>19</v>
      </c>
      <c r="T155" s="44" t="s">
        <v>1458</v>
      </c>
      <c r="U155" s="44" t="s">
        <v>1458</v>
      </c>
      <c r="V155" s="44" t="s">
        <v>2424</v>
      </c>
      <c r="W155" s="44" t="s">
        <v>2425</v>
      </c>
      <c r="X155" s="44" t="s">
        <v>1450</v>
      </c>
      <c r="Y155" s="44" t="s">
        <v>1429</v>
      </c>
      <c r="Z155" s="44" t="s">
        <v>1429</v>
      </c>
      <c r="AA155" s="44" t="s">
        <v>1761</v>
      </c>
      <c r="AI155" s="44" t="s">
        <v>2426</v>
      </c>
      <c r="AK155" s="44" t="s">
        <v>616</v>
      </c>
    </row>
    <row r="156" spans="1:37">
      <c r="B156" s="44" t="s">
        <v>552</v>
      </c>
      <c r="C156" s="44" t="s">
        <v>552</v>
      </c>
      <c r="D156" s="44" t="s">
        <v>1466</v>
      </c>
      <c r="E156" s="44" t="s">
        <v>1207</v>
      </c>
      <c r="F156" s="44" t="s">
        <v>1429</v>
      </c>
      <c r="G156" s="44" t="s">
        <v>1430</v>
      </c>
      <c r="I156" s="45">
        <v>39240.616364085647</v>
      </c>
      <c r="K156" s="44" t="s">
        <v>2427</v>
      </c>
      <c r="M156" s="44" t="s">
        <v>553</v>
      </c>
      <c r="N156" s="46" t="e">
        <f>VLOOKUP(M156,'Spend Export'!$B:$E,4,FALSE)</f>
        <v>#N/A</v>
      </c>
      <c r="O156" s="44" t="s">
        <v>1429</v>
      </c>
      <c r="P156" s="44" t="s">
        <v>2428</v>
      </c>
      <c r="Q156" s="44" t="s">
        <v>1429</v>
      </c>
      <c r="R156" s="44" t="s">
        <v>20</v>
      </c>
      <c r="S156" s="44" t="s">
        <v>19</v>
      </c>
      <c r="T156" s="44" t="s">
        <v>1458</v>
      </c>
      <c r="U156" s="44" t="s">
        <v>1458</v>
      </c>
      <c r="X156" s="44" t="s">
        <v>1450</v>
      </c>
      <c r="Y156" s="44" t="s">
        <v>1429</v>
      </c>
      <c r="Z156" s="44" t="s">
        <v>1429</v>
      </c>
      <c r="AA156" s="44" t="s">
        <v>1761</v>
      </c>
      <c r="AK156" s="44" t="s">
        <v>553</v>
      </c>
    </row>
    <row r="157" spans="1:37">
      <c r="B157" s="44" t="s">
        <v>292</v>
      </c>
      <c r="C157" s="44" t="s">
        <v>292</v>
      </c>
      <c r="D157" s="44" t="s">
        <v>1466</v>
      </c>
      <c r="E157" s="44" t="s">
        <v>1207</v>
      </c>
      <c r="F157" s="44" t="s">
        <v>1429</v>
      </c>
      <c r="G157" s="44" t="s">
        <v>1430</v>
      </c>
      <c r="I157" s="45">
        <v>42552.578697187499</v>
      </c>
      <c r="K157" s="44" t="s">
        <v>2429</v>
      </c>
      <c r="M157" s="44" t="s">
        <v>293</v>
      </c>
      <c r="N157" s="46">
        <f>VLOOKUP(M157,'Spend Export'!$B:$E,4,FALSE)</f>
        <v>58512</v>
      </c>
      <c r="O157" s="44" t="s">
        <v>1429</v>
      </c>
      <c r="P157" s="44" t="s">
        <v>2430</v>
      </c>
      <c r="Q157" s="44" t="s">
        <v>1429</v>
      </c>
      <c r="R157" s="44" t="s">
        <v>20</v>
      </c>
      <c r="S157" s="44" t="s">
        <v>19</v>
      </c>
      <c r="T157" s="44" t="s">
        <v>1502</v>
      </c>
      <c r="U157" s="44" t="s">
        <v>1502</v>
      </c>
      <c r="V157" s="44" t="s">
        <v>2431</v>
      </c>
      <c r="W157" s="44" t="s">
        <v>2432</v>
      </c>
      <c r="X157" s="44" t="s">
        <v>1450</v>
      </c>
      <c r="Y157" s="44" t="s">
        <v>1386</v>
      </c>
      <c r="Z157" s="44" t="s">
        <v>1429</v>
      </c>
      <c r="AG157" s="44" t="s">
        <v>2433</v>
      </c>
      <c r="AK157" s="44" t="s">
        <v>293</v>
      </c>
    </row>
    <row r="158" spans="1:37">
      <c r="B158" s="44" t="s">
        <v>454</v>
      </c>
      <c r="C158" s="44" t="s">
        <v>454</v>
      </c>
      <c r="D158" s="44" t="s">
        <v>1428</v>
      </c>
      <c r="E158" s="44" t="s">
        <v>1207</v>
      </c>
      <c r="F158" s="44" t="s">
        <v>1429</v>
      </c>
      <c r="G158" s="44" t="s">
        <v>1430</v>
      </c>
      <c r="I158" s="45">
        <v>44705.590693784725</v>
      </c>
      <c r="J158" s="44" t="s">
        <v>1756</v>
      </c>
      <c r="K158" s="44" t="s">
        <v>2434</v>
      </c>
      <c r="M158" s="44" t="s">
        <v>455</v>
      </c>
      <c r="N158" s="46" t="e">
        <f>VLOOKUP(M158,'Spend Export'!$B:$E,4,FALSE)</f>
        <v>#N/A</v>
      </c>
      <c r="O158" s="44" t="s">
        <v>1429</v>
      </c>
      <c r="P158" s="44" t="s">
        <v>2435</v>
      </c>
      <c r="Q158" s="44" t="s">
        <v>1429</v>
      </c>
      <c r="R158" s="44" t="s">
        <v>20</v>
      </c>
      <c r="S158" s="44" t="s">
        <v>20</v>
      </c>
      <c r="T158" s="44" t="s">
        <v>1458</v>
      </c>
      <c r="U158" s="44" t="s">
        <v>1458</v>
      </c>
      <c r="V158" s="44" t="s">
        <v>2436</v>
      </c>
      <c r="W158" s="44" t="s">
        <v>2437</v>
      </c>
      <c r="X158" s="44" t="s">
        <v>1439</v>
      </c>
      <c r="Y158" s="44" t="s">
        <v>1386</v>
      </c>
      <c r="Z158" s="44" t="s">
        <v>1429</v>
      </c>
      <c r="AA158" s="44" t="s">
        <v>1761</v>
      </c>
      <c r="AI158" s="44" t="s">
        <v>2438</v>
      </c>
      <c r="AK158" s="44" t="s">
        <v>455</v>
      </c>
    </row>
    <row r="159" spans="1:37">
      <c r="B159" s="44" t="s">
        <v>207</v>
      </c>
      <c r="C159" s="44" t="s">
        <v>207</v>
      </c>
      <c r="D159" s="44" t="s">
        <v>2439</v>
      </c>
      <c r="E159" s="44" t="s">
        <v>1572</v>
      </c>
      <c r="F159" s="44" t="s">
        <v>1429</v>
      </c>
      <c r="G159" s="44" t="s">
        <v>1430</v>
      </c>
      <c r="I159" s="45">
        <v>37918.84922546296</v>
      </c>
      <c r="K159" s="44" t="s">
        <v>2440</v>
      </c>
      <c r="M159" s="44" t="s">
        <v>208</v>
      </c>
      <c r="N159" s="46">
        <f>VLOOKUP(M159,'Spend Export'!$B:$E,4,FALSE)</f>
        <v>57433.270000000004</v>
      </c>
      <c r="Q159" s="44" t="s">
        <v>1429</v>
      </c>
      <c r="R159" s="44" t="s">
        <v>20</v>
      </c>
      <c r="S159" s="44" t="s">
        <v>19</v>
      </c>
      <c r="T159" s="44" t="s">
        <v>1519</v>
      </c>
      <c r="U159" s="44" t="s">
        <v>1519</v>
      </c>
      <c r="V159" s="44" t="s">
        <v>2441</v>
      </c>
      <c r="W159" s="44" t="s">
        <v>2442</v>
      </c>
      <c r="X159" s="44" t="s">
        <v>1439</v>
      </c>
      <c r="Y159" s="44" t="s">
        <v>1429</v>
      </c>
      <c r="Z159" s="44" t="s">
        <v>1429</v>
      </c>
      <c r="AK159" s="44" t="s">
        <v>208</v>
      </c>
    </row>
    <row r="160" spans="1:37">
      <c r="B160" s="44" t="s">
        <v>314</v>
      </c>
      <c r="C160" s="44" t="s">
        <v>314</v>
      </c>
      <c r="D160" s="44" t="s">
        <v>2443</v>
      </c>
      <c r="E160" s="44" t="s">
        <v>2444</v>
      </c>
      <c r="F160" s="44" t="s">
        <v>2445</v>
      </c>
      <c r="G160" s="44" t="s">
        <v>1430</v>
      </c>
      <c r="I160" s="45">
        <v>43214.814707210651</v>
      </c>
      <c r="J160" s="44" t="s">
        <v>2446</v>
      </c>
      <c r="K160" s="44" t="s">
        <v>2447</v>
      </c>
      <c r="M160" s="44" t="s">
        <v>315</v>
      </c>
      <c r="N160" s="46">
        <f>VLOOKUP(M160,'Spend Export'!$B:$E,4,FALSE)</f>
        <v>57331.270000000019</v>
      </c>
      <c r="P160" s="44" t="s">
        <v>2448</v>
      </c>
      <c r="Q160" s="44" t="s">
        <v>1429</v>
      </c>
      <c r="R160" s="44" t="s">
        <v>19</v>
      </c>
      <c r="S160" s="44" t="s">
        <v>19</v>
      </c>
      <c r="T160" s="44" t="s">
        <v>1509</v>
      </c>
      <c r="U160" s="44" t="s">
        <v>1509</v>
      </c>
      <c r="V160" s="44" t="s">
        <v>2449</v>
      </c>
      <c r="W160" s="44" t="s">
        <v>2450</v>
      </c>
      <c r="X160" s="44" t="s">
        <v>2451</v>
      </c>
      <c r="Y160" s="44" t="s">
        <v>1429</v>
      </c>
      <c r="Z160" s="44" t="s">
        <v>1386</v>
      </c>
      <c r="AI160" s="44" t="s">
        <v>2452</v>
      </c>
      <c r="AK160" s="44" t="s">
        <v>315</v>
      </c>
    </row>
    <row r="161" spans="1:37">
      <c r="B161" s="44" t="s">
        <v>262</v>
      </c>
      <c r="C161" s="44" t="s">
        <v>262</v>
      </c>
      <c r="D161" s="44" t="s">
        <v>1522</v>
      </c>
      <c r="E161" s="44" t="s">
        <v>1207</v>
      </c>
      <c r="F161" s="44" t="s">
        <v>2453</v>
      </c>
      <c r="G161" s="44" t="s">
        <v>1430</v>
      </c>
      <c r="I161" s="45">
        <v>42978.397091006947</v>
      </c>
      <c r="K161" s="44" t="s">
        <v>2454</v>
      </c>
      <c r="L161" s="44" t="s">
        <v>2455</v>
      </c>
      <c r="M161" s="44" t="s">
        <v>263</v>
      </c>
      <c r="N161" s="46">
        <f>VLOOKUP(M161,'Spend Export'!$B:$E,4,FALSE)</f>
        <v>56523.340000000084</v>
      </c>
      <c r="P161" s="44" t="s">
        <v>2456</v>
      </c>
      <c r="Q161" s="44" t="s">
        <v>1386</v>
      </c>
      <c r="R161" s="44" t="s">
        <v>20</v>
      </c>
      <c r="S161" s="44" t="s">
        <v>19</v>
      </c>
      <c r="T161" s="44" t="s">
        <v>1502</v>
      </c>
      <c r="U161" s="44" t="s">
        <v>1502</v>
      </c>
      <c r="X161" s="44" t="s">
        <v>1439</v>
      </c>
      <c r="Y161" s="44" t="s">
        <v>1429</v>
      </c>
      <c r="Z161" s="44" t="s">
        <v>1429</v>
      </c>
      <c r="AK161" s="44" t="s">
        <v>263</v>
      </c>
    </row>
    <row r="162" spans="1:37">
      <c r="B162" s="44" t="s">
        <v>668</v>
      </c>
      <c r="C162" s="44" t="s">
        <v>668</v>
      </c>
      <c r="D162" s="44" t="s">
        <v>2457</v>
      </c>
      <c r="E162" s="44" t="s">
        <v>2005</v>
      </c>
      <c r="F162" s="44" t="s">
        <v>1429</v>
      </c>
      <c r="G162" s="44" t="s">
        <v>1430</v>
      </c>
      <c r="I162" s="45">
        <v>45140.542266319448</v>
      </c>
      <c r="J162" s="44" t="s">
        <v>1737</v>
      </c>
      <c r="K162" s="44" t="s">
        <v>2458</v>
      </c>
      <c r="M162" s="44" t="s">
        <v>669</v>
      </c>
      <c r="N162" s="46">
        <f>VLOOKUP(M162,'Spend Export'!$B:$E,4,FALSE)</f>
        <v>56378</v>
      </c>
      <c r="O162" s="44" t="s">
        <v>1429</v>
      </c>
      <c r="P162" s="44" t="s">
        <v>2459</v>
      </c>
      <c r="Q162" s="44" t="s">
        <v>1429</v>
      </c>
      <c r="R162" s="44" t="s">
        <v>20</v>
      </c>
      <c r="S162" s="44" t="s">
        <v>19</v>
      </c>
      <c r="T162" s="44" t="s">
        <v>1556</v>
      </c>
      <c r="U162" s="44" t="s">
        <v>1556</v>
      </c>
      <c r="V162" s="44" t="s">
        <v>2460</v>
      </c>
      <c r="W162" s="44" t="s">
        <v>2461</v>
      </c>
      <c r="X162" s="44" t="s">
        <v>1450</v>
      </c>
      <c r="Y162" s="44" t="s">
        <v>1429</v>
      </c>
      <c r="Z162" s="44" t="s">
        <v>1429</v>
      </c>
      <c r="AG162" s="44" t="s">
        <v>2462</v>
      </c>
      <c r="AI162" s="44" t="s">
        <v>2463</v>
      </c>
      <c r="AK162" s="44" t="s">
        <v>669</v>
      </c>
    </row>
    <row r="163" spans="1:37">
      <c r="B163" s="44" t="s">
        <v>584</v>
      </c>
      <c r="C163" s="44" t="s">
        <v>584</v>
      </c>
      <c r="D163" s="44" t="s">
        <v>1651</v>
      </c>
      <c r="E163" s="44" t="s">
        <v>1652</v>
      </c>
      <c r="F163" s="44" t="s">
        <v>2464</v>
      </c>
      <c r="G163" s="44" t="s">
        <v>1430</v>
      </c>
      <c r="I163" s="45">
        <v>40588.633242245371</v>
      </c>
      <c r="K163" s="44" t="s">
        <v>2465</v>
      </c>
      <c r="M163" s="44" t="s">
        <v>585</v>
      </c>
      <c r="N163" s="46" t="e">
        <f>VLOOKUP(M163,'Spend Export'!$B:$E,4,FALSE)</f>
        <v>#N/A</v>
      </c>
      <c r="O163" s="44" t="s">
        <v>1429</v>
      </c>
      <c r="P163" s="44" t="s">
        <v>2466</v>
      </c>
      <c r="Q163" s="44" t="s">
        <v>1429</v>
      </c>
      <c r="R163" s="44" t="s">
        <v>19</v>
      </c>
      <c r="S163" s="44" t="s">
        <v>19</v>
      </c>
      <c r="T163" s="44" t="s">
        <v>1458</v>
      </c>
      <c r="U163" s="44" t="s">
        <v>1458</v>
      </c>
      <c r="V163" s="44" t="s">
        <v>2467</v>
      </c>
      <c r="W163" s="44" t="s">
        <v>2468</v>
      </c>
      <c r="X163" s="44" t="s">
        <v>1450</v>
      </c>
      <c r="Y163" s="44" t="s">
        <v>1429</v>
      </c>
      <c r="Z163" s="44" t="s">
        <v>1386</v>
      </c>
      <c r="AI163" s="44" t="s">
        <v>2469</v>
      </c>
      <c r="AK163" s="44" t="s">
        <v>585</v>
      </c>
    </row>
    <row r="164" spans="1:37">
      <c r="B164" s="44" t="s">
        <v>321</v>
      </c>
      <c r="C164" s="44" t="s">
        <v>321</v>
      </c>
      <c r="D164" s="44" t="s">
        <v>1428</v>
      </c>
      <c r="E164" s="44" t="s">
        <v>1207</v>
      </c>
      <c r="F164" s="44" t="s">
        <v>1429</v>
      </c>
      <c r="G164" s="44" t="s">
        <v>1430</v>
      </c>
      <c r="I164" s="45">
        <v>39988.653766932868</v>
      </c>
      <c r="K164" s="44" t="s">
        <v>2470</v>
      </c>
      <c r="M164" s="44" t="s">
        <v>322</v>
      </c>
      <c r="N164" s="46">
        <f>VLOOKUP(M164,'Spend Export'!$B:$E,4,FALSE)</f>
        <v>55263.58</v>
      </c>
      <c r="O164" s="44" t="s">
        <v>1429</v>
      </c>
      <c r="P164" s="44" t="s">
        <v>2471</v>
      </c>
      <c r="Q164" s="44" t="s">
        <v>1429</v>
      </c>
      <c r="R164" s="44" t="s">
        <v>20</v>
      </c>
      <c r="S164" s="44" t="s">
        <v>19</v>
      </c>
      <c r="T164" s="44" t="s">
        <v>1484</v>
      </c>
      <c r="U164" s="44" t="s">
        <v>1484</v>
      </c>
      <c r="X164" s="44" t="s">
        <v>1584</v>
      </c>
      <c r="Y164" s="44" t="s">
        <v>1429</v>
      </c>
      <c r="Z164" s="44" t="s">
        <v>1429</v>
      </c>
      <c r="AG164" s="44" t="s">
        <v>2472</v>
      </c>
      <c r="AK164" s="44" t="s">
        <v>322</v>
      </c>
    </row>
    <row r="165" spans="1:37">
      <c r="B165" s="44" t="s">
        <v>728</v>
      </c>
      <c r="C165" s="44" t="s">
        <v>728</v>
      </c>
      <c r="D165" s="44" t="s">
        <v>2473</v>
      </c>
      <c r="E165" s="44" t="s">
        <v>2474</v>
      </c>
      <c r="F165" s="44" t="s">
        <v>1429</v>
      </c>
      <c r="G165" s="44" t="s">
        <v>1430</v>
      </c>
      <c r="I165" s="45">
        <v>44468.867950231484</v>
      </c>
      <c r="J165" s="44" t="s">
        <v>2475</v>
      </c>
      <c r="K165" s="44" t="s">
        <v>2476</v>
      </c>
      <c r="M165" s="44" t="s">
        <v>729</v>
      </c>
      <c r="N165" s="46">
        <f>VLOOKUP(M165,'Spend Export'!$B:$E,4,FALSE)</f>
        <v>55043.22</v>
      </c>
      <c r="P165" s="44" t="s">
        <v>1429</v>
      </c>
      <c r="Q165" s="44" t="s">
        <v>1429</v>
      </c>
      <c r="R165" s="44" t="s">
        <v>19</v>
      </c>
      <c r="S165" s="44" t="s">
        <v>19</v>
      </c>
      <c r="T165" s="44" t="s">
        <v>1484</v>
      </c>
      <c r="U165" s="44" t="s">
        <v>1484</v>
      </c>
      <c r="V165" s="44" t="s">
        <v>2477</v>
      </c>
      <c r="W165" s="44" t="s">
        <v>2478</v>
      </c>
      <c r="X165" s="44" t="s">
        <v>1450</v>
      </c>
      <c r="Y165" s="44" t="s">
        <v>1429</v>
      </c>
      <c r="Z165" s="44" t="s">
        <v>1386</v>
      </c>
      <c r="AI165" s="44" t="s">
        <v>2479</v>
      </c>
      <c r="AK165" s="44" t="s">
        <v>729</v>
      </c>
    </row>
    <row r="166" spans="1:37">
      <c r="B166" s="44" t="s">
        <v>588</v>
      </c>
      <c r="C166" s="44" t="s">
        <v>588</v>
      </c>
      <c r="D166" s="44" t="s">
        <v>2480</v>
      </c>
      <c r="E166" s="44" t="s">
        <v>1572</v>
      </c>
      <c r="F166" s="44" t="s">
        <v>2481</v>
      </c>
      <c r="G166" s="44" t="s">
        <v>1430</v>
      </c>
      <c r="I166" s="45">
        <v>41988.909718171293</v>
      </c>
      <c r="J166" s="44" t="s">
        <v>2482</v>
      </c>
      <c r="K166" s="44" t="s">
        <v>2483</v>
      </c>
      <c r="M166" s="44" t="s">
        <v>589</v>
      </c>
      <c r="N166" s="46">
        <f>VLOOKUP(M166,'Spend Export'!$B:$E,4,FALSE)</f>
        <v>54884.5</v>
      </c>
      <c r="O166" s="44" t="s">
        <v>1429</v>
      </c>
      <c r="P166" s="44" t="s">
        <v>1429</v>
      </c>
      <c r="Q166" s="44" t="s">
        <v>1429</v>
      </c>
      <c r="R166" s="44" t="s">
        <v>20</v>
      </c>
      <c r="S166" s="44" t="s">
        <v>19</v>
      </c>
      <c r="T166" s="44" t="s">
        <v>1556</v>
      </c>
      <c r="U166" s="44" t="s">
        <v>1556</v>
      </c>
      <c r="V166" s="44" t="s">
        <v>2484</v>
      </c>
      <c r="W166" s="44" t="s">
        <v>2485</v>
      </c>
      <c r="X166" s="44" t="s">
        <v>1461</v>
      </c>
      <c r="Y166" s="44" t="s">
        <v>1429</v>
      </c>
      <c r="Z166" s="44" t="s">
        <v>1429</v>
      </c>
      <c r="AI166" s="44" t="s">
        <v>2486</v>
      </c>
      <c r="AK166" s="44" t="s">
        <v>589</v>
      </c>
    </row>
    <row r="167" spans="1:37">
      <c r="B167" s="44" t="s">
        <v>603</v>
      </c>
      <c r="C167" s="44" t="s">
        <v>603</v>
      </c>
      <c r="D167" s="44" t="s">
        <v>2201</v>
      </c>
      <c r="E167" s="44" t="s">
        <v>1207</v>
      </c>
      <c r="F167" s="44" t="s">
        <v>2487</v>
      </c>
      <c r="G167" s="44" t="s">
        <v>1430</v>
      </c>
      <c r="I167" s="45">
        <v>41421.410116354164</v>
      </c>
      <c r="J167" s="44" t="s">
        <v>2146</v>
      </c>
      <c r="K167" s="44" t="s">
        <v>2488</v>
      </c>
      <c r="M167" s="44" t="s">
        <v>604</v>
      </c>
      <c r="N167" s="46" t="e">
        <f>VLOOKUP(M167,'Spend Export'!$B:$E,4,FALSE)</f>
        <v>#N/A</v>
      </c>
      <c r="O167" s="44" t="s">
        <v>1429</v>
      </c>
      <c r="P167" s="44" t="s">
        <v>2489</v>
      </c>
      <c r="Q167" s="44" t="s">
        <v>1429</v>
      </c>
      <c r="R167" s="44" t="s">
        <v>20</v>
      </c>
      <c r="S167" s="44" t="s">
        <v>19</v>
      </c>
      <c r="T167" s="44" t="s">
        <v>1458</v>
      </c>
      <c r="U167" s="44" t="s">
        <v>1458</v>
      </c>
      <c r="V167" s="44" t="s">
        <v>2490</v>
      </c>
      <c r="W167" s="44" t="s">
        <v>2491</v>
      </c>
      <c r="X167" s="44" t="s">
        <v>1450</v>
      </c>
      <c r="Y167" s="44" t="s">
        <v>1386</v>
      </c>
      <c r="Z167" s="44" t="s">
        <v>1386</v>
      </c>
      <c r="AA167" s="44" t="s">
        <v>2492</v>
      </c>
      <c r="AI167" s="44" t="s">
        <v>2493</v>
      </c>
      <c r="AK167" s="44" t="s">
        <v>604</v>
      </c>
    </row>
    <row r="168" spans="1:37">
      <c r="B168" s="44" t="s">
        <v>276</v>
      </c>
      <c r="C168" s="44" t="s">
        <v>276</v>
      </c>
      <c r="D168" s="44" t="s">
        <v>1522</v>
      </c>
      <c r="E168" s="44" t="s">
        <v>1207</v>
      </c>
      <c r="F168" s="44" t="s">
        <v>2494</v>
      </c>
      <c r="G168" s="44" t="s">
        <v>1430</v>
      </c>
      <c r="I168" s="45">
        <v>37918.387053969906</v>
      </c>
      <c r="K168" s="44" t="s">
        <v>2495</v>
      </c>
      <c r="L168" s="44" t="s">
        <v>2496</v>
      </c>
      <c r="M168" s="44" t="s">
        <v>277</v>
      </c>
      <c r="N168" s="46">
        <f>VLOOKUP(M168,'Spend Export'!$B:$E,4,FALSE)</f>
        <v>53685.65</v>
      </c>
      <c r="P168" s="44" t="s">
        <v>2497</v>
      </c>
      <c r="Q168" s="44" t="s">
        <v>1429</v>
      </c>
      <c r="R168" s="44" t="s">
        <v>19</v>
      </c>
      <c r="S168" s="44" t="s">
        <v>19</v>
      </c>
      <c r="T168" s="44" t="s">
        <v>1502</v>
      </c>
      <c r="U168" s="44" t="s">
        <v>1502</v>
      </c>
      <c r="X168" s="44" t="s">
        <v>1461</v>
      </c>
      <c r="Y168" s="44" t="s">
        <v>1429</v>
      </c>
      <c r="Z168" s="44" t="s">
        <v>1429</v>
      </c>
      <c r="AA168" s="44" t="s">
        <v>2498</v>
      </c>
      <c r="AG168" s="44" t="s">
        <v>2499</v>
      </c>
      <c r="AH168" s="44" t="s">
        <v>1503</v>
      </c>
      <c r="AK168" s="44" t="s">
        <v>277</v>
      </c>
    </row>
    <row r="169" spans="1:37">
      <c r="B169" s="44" t="s">
        <v>240</v>
      </c>
      <c r="C169" s="44" t="s">
        <v>240</v>
      </c>
      <c r="D169" s="44" t="s">
        <v>2500</v>
      </c>
      <c r="E169" s="44" t="s">
        <v>1652</v>
      </c>
      <c r="F169" s="44" t="s">
        <v>1429</v>
      </c>
      <c r="G169" s="44" t="s">
        <v>1430</v>
      </c>
      <c r="I169" s="45">
        <v>37918.601515740738</v>
      </c>
      <c r="K169" s="44" t="s">
        <v>2501</v>
      </c>
      <c r="M169" s="44" t="s">
        <v>241</v>
      </c>
      <c r="N169" s="46">
        <f>VLOOKUP(M169,'Spend Export'!$B:$E,4,FALSE)</f>
        <v>53669.860000000015</v>
      </c>
      <c r="O169" s="44" t="s">
        <v>1429</v>
      </c>
      <c r="P169" s="44" t="s">
        <v>2502</v>
      </c>
      <c r="Q169" s="44" t="s">
        <v>1386</v>
      </c>
      <c r="R169" s="44" t="s">
        <v>19</v>
      </c>
      <c r="S169" s="44" t="s">
        <v>19</v>
      </c>
      <c r="T169" s="44" t="s">
        <v>2503</v>
      </c>
      <c r="U169" s="44" t="s">
        <v>1509</v>
      </c>
      <c r="V169" s="44" t="s">
        <v>2504</v>
      </c>
      <c r="W169" s="44" t="s">
        <v>2505</v>
      </c>
      <c r="X169" s="44" t="s">
        <v>1439</v>
      </c>
      <c r="Y169" s="44" t="s">
        <v>1386</v>
      </c>
      <c r="Z169" s="44" t="s">
        <v>1386</v>
      </c>
      <c r="AA169" s="44" t="s">
        <v>2506</v>
      </c>
      <c r="AI169" s="44" t="s">
        <v>2507</v>
      </c>
      <c r="AK169" s="44" t="s">
        <v>241</v>
      </c>
    </row>
    <row r="170" spans="1:37">
      <c r="B170" s="44" t="s">
        <v>366</v>
      </c>
      <c r="C170" s="44" t="s">
        <v>366</v>
      </c>
      <c r="D170" s="44" t="s">
        <v>1428</v>
      </c>
      <c r="E170" s="44" t="s">
        <v>1207</v>
      </c>
      <c r="F170" s="44" t="s">
        <v>1429</v>
      </c>
      <c r="G170" s="44" t="s">
        <v>1430</v>
      </c>
      <c r="I170" s="45">
        <v>44882.564807986113</v>
      </c>
      <c r="J170" s="44" t="s">
        <v>2078</v>
      </c>
      <c r="K170" s="44" t="s">
        <v>2508</v>
      </c>
      <c r="M170" s="44" t="s">
        <v>367</v>
      </c>
      <c r="N170" s="46" t="e">
        <f>VLOOKUP(M170,'Spend Export'!$B:$E,4,FALSE)</f>
        <v>#N/A</v>
      </c>
      <c r="O170" s="44" t="s">
        <v>1429</v>
      </c>
      <c r="P170" s="44" t="s">
        <v>2509</v>
      </c>
      <c r="Q170" s="44" t="s">
        <v>1429</v>
      </c>
      <c r="R170" s="44" t="s">
        <v>20</v>
      </c>
      <c r="S170" s="44" t="s">
        <v>19</v>
      </c>
      <c r="T170" s="44" t="s">
        <v>1458</v>
      </c>
      <c r="U170" s="44" t="s">
        <v>1458</v>
      </c>
      <c r="V170" s="44" t="s">
        <v>2510</v>
      </c>
      <c r="W170" s="44" t="s">
        <v>2511</v>
      </c>
      <c r="X170" s="44" t="s">
        <v>1450</v>
      </c>
      <c r="Y170" s="44" t="s">
        <v>1386</v>
      </c>
      <c r="Z170" s="44" t="s">
        <v>1386</v>
      </c>
      <c r="AI170" s="44" t="s">
        <v>2512</v>
      </c>
      <c r="AK170" s="44" t="s">
        <v>367</v>
      </c>
    </row>
    <row r="171" spans="1:37">
      <c r="B171" s="44" t="s">
        <v>193</v>
      </c>
      <c r="C171" s="44" t="s">
        <v>193</v>
      </c>
      <c r="D171" s="44" t="s">
        <v>1428</v>
      </c>
      <c r="E171" s="44" t="s">
        <v>1207</v>
      </c>
      <c r="F171" s="44" t="s">
        <v>2513</v>
      </c>
      <c r="G171" s="44" t="s">
        <v>1430</v>
      </c>
      <c r="I171" s="45">
        <v>43882.643825613428</v>
      </c>
      <c r="J171" s="44" t="s">
        <v>2514</v>
      </c>
      <c r="K171" s="44" t="s">
        <v>2515</v>
      </c>
      <c r="M171" s="44" t="s">
        <v>194</v>
      </c>
      <c r="N171" s="46">
        <f>VLOOKUP(M171,'Spend Export'!$B:$E,4,FALSE)</f>
        <v>53171.15</v>
      </c>
      <c r="P171" s="44" t="s">
        <v>2516</v>
      </c>
      <c r="Q171" s="44" t="s">
        <v>1429</v>
      </c>
      <c r="R171" s="44" t="s">
        <v>19</v>
      </c>
      <c r="S171" s="44" t="s">
        <v>19</v>
      </c>
      <c r="T171" s="44" t="s">
        <v>1502</v>
      </c>
      <c r="U171" s="44" t="s">
        <v>1502</v>
      </c>
      <c r="V171" s="44" t="s">
        <v>2517</v>
      </c>
      <c r="W171" s="44" t="s">
        <v>2517</v>
      </c>
      <c r="X171" s="44" t="s">
        <v>1439</v>
      </c>
      <c r="Y171" s="44" t="s">
        <v>1429</v>
      </c>
      <c r="Z171" s="44" t="s">
        <v>1429</v>
      </c>
      <c r="AI171" s="44" t="s">
        <v>2518</v>
      </c>
      <c r="AK171" s="44" t="s">
        <v>194</v>
      </c>
    </row>
    <row r="172" spans="1:37">
      <c r="B172" s="44" t="s">
        <v>456</v>
      </c>
      <c r="C172" s="44" t="s">
        <v>456</v>
      </c>
      <c r="D172" s="44" t="s">
        <v>1443</v>
      </c>
      <c r="E172" s="44" t="s">
        <v>1207</v>
      </c>
      <c r="F172" s="44" t="s">
        <v>1429</v>
      </c>
      <c r="G172" s="44" t="s">
        <v>1430</v>
      </c>
      <c r="I172" s="45">
        <v>41451.435345983795</v>
      </c>
      <c r="K172" s="44" t="s">
        <v>2519</v>
      </c>
      <c r="M172" s="44" t="s">
        <v>457</v>
      </c>
      <c r="N172" s="46">
        <f>VLOOKUP(M172,'Spend Export'!$B:$E,4,FALSE)</f>
        <v>52639</v>
      </c>
      <c r="P172" s="44" t="s">
        <v>2520</v>
      </c>
      <c r="Q172" s="44" t="s">
        <v>1429</v>
      </c>
      <c r="R172" s="44" t="s">
        <v>20</v>
      </c>
      <c r="S172" s="44" t="s">
        <v>19</v>
      </c>
      <c r="T172" s="44" t="s">
        <v>1502</v>
      </c>
      <c r="U172" s="44" t="s">
        <v>1502</v>
      </c>
      <c r="X172" s="44" t="s">
        <v>1439</v>
      </c>
      <c r="Y172" s="44" t="s">
        <v>1429</v>
      </c>
      <c r="Z172" s="44" t="s">
        <v>1429</v>
      </c>
      <c r="AK172" s="44" t="s">
        <v>457</v>
      </c>
    </row>
    <row r="173" spans="1:37">
      <c r="B173" s="44" t="s">
        <v>788</v>
      </c>
      <c r="C173" s="44" t="s">
        <v>788</v>
      </c>
      <c r="D173" s="44" t="s">
        <v>1490</v>
      </c>
      <c r="E173" s="44" t="s">
        <v>1491</v>
      </c>
      <c r="F173" s="44" t="s">
        <v>1429</v>
      </c>
      <c r="G173" s="44" t="s">
        <v>1430</v>
      </c>
      <c r="I173" s="45">
        <v>44911.454441087961</v>
      </c>
      <c r="J173" s="44" t="s">
        <v>1785</v>
      </c>
      <c r="K173" s="44" t="s">
        <v>2521</v>
      </c>
      <c r="M173" s="44" t="s">
        <v>789</v>
      </c>
      <c r="N173" s="46">
        <f>VLOOKUP(M173,'Spend Export'!$B:$E,4,FALSE)</f>
        <v>50248.979999999996</v>
      </c>
      <c r="O173" s="44" t="s">
        <v>1429</v>
      </c>
      <c r="P173" s="44" t="s">
        <v>2522</v>
      </c>
      <c r="Q173" s="44" t="s">
        <v>1429</v>
      </c>
      <c r="R173" s="44" t="s">
        <v>20</v>
      </c>
      <c r="S173" s="44" t="s">
        <v>19</v>
      </c>
      <c r="T173" s="44" t="s">
        <v>1556</v>
      </c>
      <c r="U173" s="44" t="s">
        <v>1556</v>
      </c>
      <c r="V173" s="44" t="s">
        <v>2523</v>
      </c>
      <c r="W173" s="44" t="s">
        <v>2524</v>
      </c>
      <c r="X173" s="44" t="s">
        <v>1461</v>
      </c>
      <c r="Y173" s="44" t="s">
        <v>1429</v>
      </c>
      <c r="Z173" s="44" t="s">
        <v>1429</v>
      </c>
      <c r="AI173" s="44" t="s">
        <v>2525</v>
      </c>
      <c r="AK173" s="44" t="s">
        <v>789</v>
      </c>
    </row>
    <row r="174" spans="1:37">
      <c r="B174" s="44" t="s">
        <v>435</v>
      </c>
      <c r="C174" s="44" t="s">
        <v>435</v>
      </c>
      <c r="D174" s="44" t="s">
        <v>2526</v>
      </c>
      <c r="E174" s="44" t="s">
        <v>1207</v>
      </c>
      <c r="F174" s="44" t="s">
        <v>2527</v>
      </c>
      <c r="G174" s="44" t="s">
        <v>1430</v>
      </c>
      <c r="I174" s="45">
        <v>41809.468711261572</v>
      </c>
      <c r="K174" s="44" t="s">
        <v>2528</v>
      </c>
      <c r="M174" s="44" t="s">
        <v>436</v>
      </c>
      <c r="N174" s="46">
        <f>VLOOKUP(M174,'Spend Export'!$B:$E,4,FALSE)</f>
        <v>48739.9</v>
      </c>
      <c r="O174" s="44" t="s">
        <v>1429</v>
      </c>
      <c r="P174" s="44" t="s">
        <v>2529</v>
      </c>
      <c r="Q174" s="44" t="s">
        <v>1386</v>
      </c>
      <c r="R174" s="44" t="s">
        <v>19</v>
      </c>
      <c r="S174" s="44" t="s">
        <v>19</v>
      </c>
      <c r="T174" s="44" t="s">
        <v>1502</v>
      </c>
      <c r="U174" s="44" t="s">
        <v>1502</v>
      </c>
      <c r="X174" s="44" t="s">
        <v>1450</v>
      </c>
      <c r="Y174" s="44" t="s">
        <v>1429</v>
      </c>
      <c r="Z174" s="44" t="s">
        <v>1429</v>
      </c>
      <c r="AH174" s="44" t="s">
        <v>1503</v>
      </c>
      <c r="AK174" s="44" t="s">
        <v>2530</v>
      </c>
    </row>
    <row r="175" spans="1:37">
      <c r="B175" s="44" t="s">
        <v>394</v>
      </c>
      <c r="C175" s="44" t="s">
        <v>394</v>
      </c>
      <c r="D175" s="44" t="s">
        <v>1428</v>
      </c>
      <c r="E175" s="44" t="s">
        <v>1207</v>
      </c>
      <c r="F175" s="44" t="s">
        <v>1429</v>
      </c>
      <c r="G175" s="44" t="s">
        <v>1430</v>
      </c>
      <c r="I175" s="45">
        <v>45009.577352430555</v>
      </c>
      <c r="J175" s="44" t="s">
        <v>2531</v>
      </c>
      <c r="K175" s="44" t="s">
        <v>2532</v>
      </c>
      <c r="M175" s="44" t="s">
        <v>395</v>
      </c>
      <c r="N175" s="46">
        <f>VLOOKUP(M175,'Spend Export'!$B:$E,4,FALSE)</f>
        <v>48516.4</v>
      </c>
      <c r="O175" s="44" t="s">
        <v>1429</v>
      </c>
      <c r="P175" s="44" t="s">
        <v>2533</v>
      </c>
      <c r="Q175" s="44" t="s">
        <v>1429</v>
      </c>
      <c r="R175" s="44" t="s">
        <v>20</v>
      </c>
      <c r="S175" s="44" t="s">
        <v>20</v>
      </c>
      <c r="T175" s="44" t="s">
        <v>1509</v>
      </c>
      <c r="U175" s="44" t="s">
        <v>1509</v>
      </c>
      <c r="V175" s="44" t="s">
        <v>2534</v>
      </c>
      <c r="W175" s="44" t="s">
        <v>2535</v>
      </c>
      <c r="X175" s="44" t="s">
        <v>1461</v>
      </c>
      <c r="Y175" s="44" t="s">
        <v>1386</v>
      </c>
      <c r="Z175" s="44" t="s">
        <v>1386</v>
      </c>
      <c r="AG175" s="44" t="s">
        <v>2536</v>
      </c>
      <c r="AI175" s="44" t="s">
        <v>2537</v>
      </c>
      <c r="AK175" s="44" t="s">
        <v>395</v>
      </c>
    </row>
    <row r="176" spans="1:37">
      <c r="A176" s="44" t="s">
        <v>1635</v>
      </c>
      <c r="B176" s="44" t="s">
        <v>818</v>
      </c>
      <c r="C176" s="44" t="s">
        <v>818</v>
      </c>
      <c r="D176" s="44" t="s">
        <v>2538</v>
      </c>
      <c r="E176" s="44" t="s">
        <v>1572</v>
      </c>
      <c r="F176" s="44" t="s">
        <v>1429</v>
      </c>
      <c r="G176" s="44" t="s">
        <v>1430</v>
      </c>
      <c r="H176" s="44" t="s">
        <v>1431</v>
      </c>
      <c r="I176" s="45">
        <v>37918.683340706018</v>
      </c>
      <c r="J176" s="44" t="s">
        <v>1863</v>
      </c>
      <c r="K176" s="44" t="s">
        <v>2539</v>
      </c>
      <c r="L176" s="44" t="s">
        <v>2540</v>
      </c>
      <c r="M176" s="44" t="s">
        <v>819</v>
      </c>
      <c r="N176" s="46">
        <f>VLOOKUP(M176,'Spend Export'!$B:$E,4,FALSE)</f>
        <v>48317.919999999998</v>
      </c>
      <c r="O176" s="44" t="s">
        <v>1429</v>
      </c>
      <c r="P176" s="44" t="s">
        <v>1429</v>
      </c>
      <c r="Q176" s="44" t="s">
        <v>1429</v>
      </c>
      <c r="R176" s="44" t="s">
        <v>20</v>
      </c>
      <c r="S176" s="44" t="s">
        <v>19</v>
      </c>
      <c r="T176" s="44" t="s">
        <v>1484</v>
      </c>
      <c r="U176" s="44" t="s">
        <v>1484</v>
      </c>
      <c r="V176" s="44" t="s">
        <v>2541</v>
      </c>
      <c r="W176" s="44" t="s">
        <v>2542</v>
      </c>
      <c r="X176" s="44" t="s">
        <v>1594</v>
      </c>
      <c r="Y176" s="44" t="s">
        <v>1429</v>
      </c>
      <c r="Z176" s="44" t="s">
        <v>1429</v>
      </c>
      <c r="AG176" s="44" t="s">
        <v>1863</v>
      </c>
      <c r="AI176" s="44" t="s">
        <v>2543</v>
      </c>
      <c r="AK176" s="44" t="s">
        <v>819</v>
      </c>
    </row>
    <row r="177" spans="1:37">
      <c r="B177" s="44" t="s">
        <v>248</v>
      </c>
      <c r="C177" s="44" t="s">
        <v>248</v>
      </c>
      <c r="D177" s="44" t="s">
        <v>1562</v>
      </c>
      <c r="E177" s="44" t="s">
        <v>1207</v>
      </c>
      <c r="F177" s="44" t="s">
        <v>2544</v>
      </c>
      <c r="G177" s="44" t="s">
        <v>1430</v>
      </c>
      <c r="I177" s="45">
        <v>37918.614331909725</v>
      </c>
      <c r="K177" s="44" t="s">
        <v>2545</v>
      </c>
      <c r="M177" s="44" t="s">
        <v>249</v>
      </c>
      <c r="N177" s="46">
        <f>VLOOKUP(M177,'Spend Export'!$B:$E,4,FALSE)</f>
        <v>48229.94</v>
      </c>
      <c r="P177" s="44" t="s">
        <v>2546</v>
      </c>
      <c r="Q177" s="44" t="s">
        <v>1386</v>
      </c>
      <c r="R177" s="44" t="s">
        <v>19</v>
      </c>
      <c r="S177" s="44" t="s">
        <v>19</v>
      </c>
      <c r="T177" s="44" t="s">
        <v>1484</v>
      </c>
      <c r="U177" s="44" t="s">
        <v>1484</v>
      </c>
      <c r="V177" s="44" t="s">
        <v>2547</v>
      </c>
      <c r="W177" s="44" t="s">
        <v>2548</v>
      </c>
      <c r="X177" s="44" t="s">
        <v>1439</v>
      </c>
      <c r="Y177" s="44" t="s">
        <v>1429</v>
      </c>
      <c r="Z177" s="44" t="s">
        <v>1429</v>
      </c>
      <c r="AG177" s="44" t="s">
        <v>2549</v>
      </c>
      <c r="AI177" s="44" t="s">
        <v>2550</v>
      </c>
      <c r="AK177" s="44" t="s">
        <v>249</v>
      </c>
    </row>
    <row r="178" spans="1:37">
      <c r="B178" s="44" t="s">
        <v>786</v>
      </c>
      <c r="C178" s="44" t="s">
        <v>786</v>
      </c>
      <c r="D178" s="44" t="s">
        <v>1428</v>
      </c>
      <c r="E178" s="44" t="s">
        <v>1207</v>
      </c>
      <c r="F178" s="44" t="s">
        <v>1429</v>
      </c>
      <c r="G178" s="44" t="s">
        <v>1430</v>
      </c>
      <c r="I178" s="45">
        <v>44827.538425694445</v>
      </c>
      <c r="J178" s="44" t="s">
        <v>2551</v>
      </c>
      <c r="K178" s="44" t="s">
        <v>2552</v>
      </c>
      <c r="M178" s="44" t="s">
        <v>787</v>
      </c>
      <c r="N178" s="46">
        <f>VLOOKUP(M178,'Spend Export'!$B:$E,4,FALSE)</f>
        <v>48099.619999999995</v>
      </c>
      <c r="O178" s="44" t="s">
        <v>1429</v>
      </c>
      <c r="P178" s="44" t="s">
        <v>2553</v>
      </c>
      <c r="Q178" s="44" t="s">
        <v>1429</v>
      </c>
      <c r="R178" s="44" t="s">
        <v>20</v>
      </c>
      <c r="S178" s="44" t="s">
        <v>19</v>
      </c>
      <c r="T178" s="44" t="s">
        <v>1484</v>
      </c>
      <c r="U178" s="44" t="s">
        <v>1484</v>
      </c>
      <c r="V178" s="44" t="s">
        <v>2554</v>
      </c>
      <c r="W178" s="44" t="s">
        <v>2555</v>
      </c>
      <c r="X178" s="44" t="s">
        <v>1584</v>
      </c>
      <c r="Y178" s="44" t="s">
        <v>1429</v>
      </c>
      <c r="Z178" s="44" t="s">
        <v>1429</v>
      </c>
      <c r="AI178" s="44" t="s">
        <v>2556</v>
      </c>
      <c r="AK178" s="44" t="s">
        <v>787</v>
      </c>
    </row>
    <row r="179" spans="1:37">
      <c r="B179" s="44" t="s">
        <v>174</v>
      </c>
      <c r="C179" s="44" t="s">
        <v>174</v>
      </c>
      <c r="D179" s="44" t="s">
        <v>1522</v>
      </c>
      <c r="E179" s="44" t="s">
        <v>1207</v>
      </c>
      <c r="F179" s="44" t="s">
        <v>1429</v>
      </c>
      <c r="G179" s="44" t="s">
        <v>1430</v>
      </c>
      <c r="I179" s="45">
        <v>37918.782988969906</v>
      </c>
      <c r="J179" s="44" t="s">
        <v>2146</v>
      </c>
      <c r="K179" s="44" t="s">
        <v>2557</v>
      </c>
      <c r="M179" s="44" t="s">
        <v>175</v>
      </c>
      <c r="N179" s="46" t="e">
        <f>VLOOKUP(M179,'Spend Export'!$B:$E,4,FALSE)</f>
        <v>#N/A</v>
      </c>
      <c r="O179" s="44" t="s">
        <v>1429</v>
      </c>
      <c r="P179" s="44" t="s">
        <v>2558</v>
      </c>
      <c r="Q179" s="44" t="s">
        <v>1429</v>
      </c>
      <c r="R179" s="44" t="s">
        <v>19</v>
      </c>
      <c r="S179" s="44" t="s">
        <v>19</v>
      </c>
      <c r="T179" s="44" t="s">
        <v>1470</v>
      </c>
      <c r="U179" s="44" t="s">
        <v>1458</v>
      </c>
      <c r="V179" s="44" t="s">
        <v>2559</v>
      </c>
      <c r="W179" s="44" t="s">
        <v>2560</v>
      </c>
      <c r="X179" s="44" t="s">
        <v>1439</v>
      </c>
      <c r="Y179" s="44" t="s">
        <v>1386</v>
      </c>
      <c r="Z179" s="44" t="s">
        <v>1429</v>
      </c>
      <c r="AI179" s="44" t="s">
        <v>2561</v>
      </c>
      <c r="AK179" s="44" t="s">
        <v>175</v>
      </c>
    </row>
    <row r="180" spans="1:37">
      <c r="B180" s="44" t="s">
        <v>250</v>
      </c>
      <c r="C180" s="44" t="s">
        <v>250</v>
      </c>
      <c r="D180" s="44" t="s">
        <v>2562</v>
      </c>
      <c r="E180" s="44" t="s">
        <v>1572</v>
      </c>
      <c r="F180" s="44" t="s">
        <v>2563</v>
      </c>
      <c r="G180" s="44" t="s">
        <v>1430</v>
      </c>
      <c r="I180" s="45">
        <v>44351.588481134262</v>
      </c>
      <c r="J180" s="44" t="s">
        <v>2564</v>
      </c>
      <c r="K180" s="44" t="s">
        <v>2565</v>
      </c>
      <c r="M180" s="44" t="s">
        <v>251</v>
      </c>
      <c r="N180" s="46">
        <f>VLOOKUP(M180,'Spend Export'!$B:$E,4,FALSE)</f>
        <v>47562.720000000001</v>
      </c>
      <c r="O180" s="44" t="s">
        <v>1429</v>
      </c>
      <c r="P180" s="44" t="s">
        <v>1429</v>
      </c>
      <c r="Q180" s="44" t="s">
        <v>1429</v>
      </c>
      <c r="R180" s="44" t="s">
        <v>19</v>
      </c>
      <c r="S180" s="44" t="s">
        <v>19</v>
      </c>
      <c r="T180" s="44" t="s">
        <v>2566</v>
      </c>
      <c r="U180" s="44" t="s">
        <v>1484</v>
      </c>
      <c r="V180" s="44" t="s">
        <v>2567</v>
      </c>
      <c r="W180" s="44" t="s">
        <v>2568</v>
      </c>
      <c r="X180" s="44" t="s">
        <v>1461</v>
      </c>
      <c r="Y180" s="44" t="s">
        <v>1429</v>
      </c>
      <c r="Z180" s="44" t="s">
        <v>1386</v>
      </c>
      <c r="AA180" s="44" t="s">
        <v>2569</v>
      </c>
      <c r="AD180" s="44" t="s">
        <v>2498</v>
      </c>
      <c r="AI180" s="44" t="s">
        <v>2570</v>
      </c>
      <c r="AK180" s="44" t="s">
        <v>251</v>
      </c>
    </row>
    <row r="181" spans="1:37">
      <c r="B181" s="44" t="s">
        <v>422</v>
      </c>
      <c r="C181" s="44" t="s">
        <v>422</v>
      </c>
      <c r="D181" s="44" t="s">
        <v>2571</v>
      </c>
      <c r="E181" s="44" t="s">
        <v>2572</v>
      </c>
      <c r="F181" s="44" t="s">
        <v>2573</v>
      </c>
      <c r="G181" s="44" t="s">
        <v>1430</v>
      </c>
      <c r="I181" s="45">
        <v>43318.631734641203</v>
      </c>
      <c r="J181" s="44" t="s">
        <v>2574</v>
      </c>
      <c r="K181" s="44" t="s">
        <v>2575</v>
      </c>
      <c r="M181" s="44" t="s">
        <v>423</v>
      </c>
      <c r="N181" s="46">
        <f>VLOOKUP(M181,'Spend Export'!$B:$E,4,FALSE)</f>
        <v>45769</v>
      </c>
      <c r="P181" s="44" t="s">
        <v>2576</v>
      </c>
      <c r="Q181" s="44" t="s">
        <v>1429</v>
      </c>
      <c r="R181" s="44" t="s">
        <v>20</v>
      </c>
      <c r="S181" s="44" t="s">
        <v>19</v>
      </c>
      <c r="T181" s="44" t="s">
        <v>2577</v>
      </c>
      <c r="U181" s="44" t="s">
        <v>1519</v>
      </c>
      <c r="V181" s="44" t="s">
        <v>2578</v>
      </c>
      <c r="W181" s="44" t="s">
        <v>2579</v>
      </c>
      <c r="X181" s="44" t="s">
        <v>1450</v>
      </c>
      <c r="Y181" s="44" t="s">
        <v>1429</v>
      </c>
      <c r="Z181" s="44" t="s">
        <v>1386</v>
      </c>
      <c r="AA181" s="44" t="s">
        <v>2580</v>
      </c>
      <c r="AI181" s="44" t="s">
        <v>2581</v>
      </c>
      <c r="AK181" s="44" t="s">
        <v>423</v>
      </c>
    </row>
    <row r="182" spans="1:37">
      <c r="A182" s="44" t="s">
        <v>1635</v>
      </c>
      <c r="B182" s="44" t="s">
        <v>1033</v>
      </c>
      <c r="C182" s="44" t="s">
        <v>1033</v>
      </c>
      <c r="D182" s="44" t="s">
        <v>2582</v>
      </c>
      <c r="E182" s="44" t="s">
        <v>1883</v>
      </c>
      <c r="F182" s="44" t="s">
        <v>1429</v>
      </c>
      <c r="G182" s="44" t="s">
        <v>1430</v>
      </c>
      <c r="H182" s="44" t="s">
        <v>1431</v>
      </c>
      <c r="I182" s="45">
        <v>44139.529863692129</v>
      </c>
      <c r="J182" s="44" t="s">
        <v>2057</v>
      </c>
      <c r="K182" s="44" t="s">
        <v>2583</v>
      </c>
      <c r="M182" s="44" t="s">
        <v>1034</v>
      </c>
      <c r="N182" s="46">
        <f>VLOOKUP(M182,'Spend Export'!$B:$E,4,FALSE)</f>
        <v>45491.11</v>
      </c>
      <c r="P182" s="44" t="s">
        <v>2584</v>
      </c>
      <c r="Q182" s="44" t="s">
        <v>1429</v>
      </c>
      <c r="R182" s="44" t="s">
        <v>20</v>
      </c>
      <c r="S182" s="44" t="s">
        <v>19</v>
      </c>
      <c r="T182" s="44" t="s">
        <v>2585</v>
      </c>
      <c r="U182" s="44" t="s">
        <v>1484</v>
      </c>
      <c r="V182" s="44" t="s">
        <v>2586</v>
      </c>
      <c r="W182" s="44" t="s">
        <v>2587</v>
      </c>
      <c r="X182" s="44" t="s">
        <v>1450</v>
      </c>
      <c r="Y182" s="44" t="s">
        <v>1429</v>
      </c>
      <c r="Z182" s="44" t="s">
        <v>1429</v>
      </c>
      <c r="AG182" s="44" t="s">
        <v>2062</v>
      </c>
      <c r="AI182" s="44" t="s">
        <v>2588</v>
      </c>
      <c r="AK182" s="44" t="s">
        <v>1034</v>
      </c>
    </row>
    <row r="183" spans="1:37">
      <c r="A183" s="44" t="s">
        <v>572</v>
      </c>
      <c r="B183" s="44" t="s">
        <v>572</v>
      </c>
      <c r="C183" s="44" t="s">
        <v>572</v>
      </c>
      <c r="D183" s="44" t="s">
        <v>1562</v>
      </c>
      <c r="E183" s="44" t="s">
        <v>1207</v>
      </c>
      <c r="F183" s="44" t="s">
        <v>2589</v>
      </c>
      <c r="G183" s="44" t="s">
        <v>1430</v>
      </c>
      <c r="H183" s="44" t="s">
        <v>1431</v>
      </c>
      <c r="I183" s="45">
        <v>37918.650428622685</v>
      </c>
      <c r="K183" s="44" t="s">
        <v>2590</v>
      </c>
      <c r="L183" s="44" t="s">
        <v>2591</v>
      </c>
      <c r="M183" s="44" t="s">
        <v>573</v>
      </c>
      <c r="N183" s="46">
        <f>VLOOKUP(M183,'Spend Export'!$B:$E,4,FALSE)</f>
        <v>45434.45</v>
      </c>
      <c r="O183" s="44" t="s">
        <v>1429</v>
      </c>
      <c r="P183" s="44" t="s">
        <v>2592</v>
      </c>
      <c r="Q183" s="44" t="s">
        <v>1429</v>
      </c>
      <c r="R183" s="44" t="s">
        <v>20</v>
      </c>
      <c r="S183" s="44" t="s">
        <v>19</v>
      </c>
      <c r="T183" s="44" t="s">
        <v>1502</v>
      </c>
      <c r="U183" s="44" t="s">
        <v>1502</v>
      </c>
      <c r="X183" s="44" t="s">
        <v>1439</v>
      </c>
      <c r="Y183" s="44" t="s">
        <v>1429</v>
      </c>
      <c r="Z183" s="44" t="s">
        <v>1386</v>
      </c>
      <c r="AK183" s="44" t="s">
        <v>573</v>
      </c>
    </row>
    <row r="184" spans="1:37">
      <c r="B184" s="44" t="s">
        <v>482</v>
      </c>
      <c r="C184" s="44" t="s">
        <v>482</v>
      </c>
      <c r="D184" s="44" t="s">
        <v>2049</v>
      </c>
      <c r="E184" s="44" t="s">
        <v>1207</v>
      </c>
      <c r="F184" s="44" t="s">
        <v>2593</v>
      </c>
      <c r="G184" s="44" t="s">
        <v>1430</v>
      </c>
      <c r="I184" s="45">
        <v>44677.428698958334</v>
      </c>
      <c r="J184" s="44" t="s">
        <v>1756</v>
      </c>
      <c r="K184" s="44" t="s">
        <v>2594</v>
      </c>
      <c r="M184" s="44" t="s">
        <v>483</v>
      </c>
      <c r="N184" s="46">
        <f>VLOOKUP(M184,'Spend Export'!$B:$E,4,FALSE)</f>
        <v>45072.5</v>
      </c>
      <c r="O184" s="44" t="s">
        <v>1429</v>
      </c>
      <c r="P184" s="44" t="s">
        <v>2595</v>
      </c>
      <c r="Q184" s="44" t="s">
        <v>1429</v>
      </c>
      <c r="R184" s="44" t="s">
        <v>20</v>
      </c>
      <c r="S184" s="44" t="s">
        <v>19</v>
      </c>
      <c r="T184" s="44" t="s">
        <v>2596</v>
      </c>
      <c r="U184" s="44" t="s">
        <v>1484</v>
      </c>
      <c r="V184" s="44" t="s">
        <v>2597</v>
      </c>
      <c r="W184" s="44" t="s">
        <v>2593</v>
      </c>
      <c r="X184" s="44" t="s">
        <v>1450</v>
      </c>
      <c r="Y184" s="44" t="s">
        <v>1429</v>
      </c>
      <c r="Z184" s="44" t="s">
        <v>1386</v>
      </c>
      <c r="AA184" s="44" t="s">
        <v>1761</v>
      </c>
      <c r="AI184" s="44" t="s">
        <v>2598</v>
      </c>
      <c r="AK184" s="44" t="s">
        <v>483</v>
      </c>
    </row>
    <row r="185" spans="1:37">
      <c r="B185" s="44" t="s">
        <v>859</v>
      </c>
      <c r="C185" s="44" t="s">
        <v>859</v>
      </c>
      <c r="D185" s="44" t="s">
        <v>2599</v>
      </c>
      <c r="E185" s="44" t="s">
        <v>2600</v>
      </c>
      <c r="F185" s="44" t="s">
        <v>2601</v>
      </c>
      <c r="G185" s="44" t="s">
        <v>1430</v>
      </c>
      <c r="I185" s="45">
        <v>41226.438543171294</v>
      </c>
      <c r="K185" s="44" t="s">
        <v>2602</v>
      </c>
      <c r="M185" s="44" t="s">
        <v>860</v>
      </c>
      <c r="N185" s="46">
        <f>VLOOKUP(M185,'Spend Export'!$B:$E,4,FALSE)</f>
        <v>44706.749999999993</v>
      </c>
      <c r="P185" s="44" t="s">
        <v>2603</v>
      </c>
      <c r="Q185" s="44" t="s">
        <v>1429</v>
      </c>
      <c r="R185" s="44" t="s">
        <v>20</v>
      </c>
      <c r="S185" s="44" t="s">
        <v>19</v>
      </c>
      <c r="T185" s="44" t="s">
        <v>2604</v>
      </c>
      <c r="U185" s="44" t="s">
        <v>1484</v>
      </c>
      <c r="X185" s="44" t="s">
        <v>1461</v>
      </c>
      <c r="Y185" s="44" t="s">
        <v>1429</v>
      </c>
      <c r="Z185" s="44" t="s">
        <v>1386</v>
      </c>
      <c r="AI185" s="44" t="s">
        <v>2605</v>
      </c>
      <c r="AK185" s="44" t="s">
        <v>860</v>
      </c>
    </row>
    <row r="186" spans="1:37">
      <c r="B186" s="44" t="s">
        <v>776</v>
      </c>
      <c r="C186" s="44" t="s">
        <v>776</v>
      </c>
      <c r="D186" s="44" t="s">
        <v>2606</v>
      </c>
      <c r="E186" s="44" t="s">
        <v>2102</v>
      </c>
      <c r="F186" s="44" t="s">
        <v>1429</v>
      </c>
      <c r="G186" s="44" t="s">
        <v>1430</v>
      </c>
      <c r="I186" s="45">
        <v>44936.364647951392</v>
      </c>
      <c r="J186" s="44" t="s">
        <v>1687</v>
      </c>
      <c r="K186" s="44" t="s">
        <v>2607</v>
      </c>
      <c r="M186" s="44" t="s">
        <v>777</v>
      </c>
      <c r="N186" s="46" t="e">
        <f>VLOOKUP(M186,'Spend Export'!$B:$E,4,FALSE)</f>
        <v>#N/A</v>
      </c>
      <c r="O186" s="44" t="s">
        <v>1429</v>
      </c>
      <c r="P186" s="44" t="s">
        <v>2608</v>
      </c>
      <c r="Q186" s="44" t="s">
        <v>1429</v>
      </c>
      <c r="R186" s="44" t="s">
        <v>20</v>
      </c>
      <c r="S186" s="44" t="s">
        <v>19</v>
      </c>
      <c r="T186" s="44" t="s">
        <v>1458</v>
      </c>
      <c r="U186" s="44" t="s">
        <v>1458</v>
      </c>
      <c r="V186" s="44" t="s">
        <v>2609</v>
      </c>
      <c r="W186" s="44" t="s">
        <v>2610</v>
      </c>
      <c r="X186" s="44" t="s">
        <v>1439</v>
      </c>
      <c r="Y186" s="44" t="s">
        <v>1429</v>
      </c>
      <c r="Z186" s="44" t="s">
        <v>1386</v>
      </c>
      <c r="AG186" s="44" t="s">
        <v>2611</v>
      </c>
      <c r="AI186" s="44" t="s">
        <v>2612</v>
      </c>
      <c r="AK186" s="44" t="s">
        <v>777</v>
      </c>
    </row>
    <row r="187" spans="1:37">
      <c r="B187" s="44" t="s">
        <v>170</v>
      </c>
      <c r="C187" s="44" t="s">
        <v>170</v>
      </c>
      <c r="D187" s="44" t="s">
        <v>2331</v>
      </c>
      <c r="E187" s="44" t="s">
        <v>2332</v>
      </c>
      <c r="F187" s="44" t="s">
        <v>1429</v>
      </c>
      <c r="G187" s="44" t="s">
        <v>1430</v>
      </c>
      <c r="I187" s="45">
        <v>38397.656465590277</v>
      </c>
      <c r="K187" s="44" t="s">
        <v>2613</v>
      </c>
      <c r="M187" s="44" t="s">
        <v>171</v>
      </c>
      <c r="N187" s="46">
        <f>VLOOKUP(M187,'Spend Export'!$B:$E,4,FALSE)</f>
        <v>44491.700000000012</v>
      </c>
      <c r="O187" s="44" t="s">
        <v>1429</v>
      </c>
      <c r="P187" s="44" t="s">
        <v>1429</v>
      </c>
      <c r="Q187" s="44" t="s">
        <v>1429</v>
      </c>
      <c r="R187" s="44" t="s">
        <v>20</v>
      </c>
      <c r="S187" s="44" t="s">
        <v>19</v>
      </c>
      <c r="T187" s="44" t="s">
        <v>2614</v>
      </c>
      <c r="U187" s="44" t="s">
        <v>1519</v>
      </c>
      <c r="V187" s="44" t="s">
        <v>2615</v>
      </c>
      <c r="W187" s="44" t="s">
        <v>2616</v>
      </c>
      <c r="X187" s="44" t="s">
        <v>1450</v>
      </c>
      <c r="Y187" s="44" t="s">
        <v>1429</v>
      </c>
      <c r="Z187" s="44" t="s">
        <v>1386</v>
      </c>
      <c r="AI187" s="44" t="s">
        <v>2617</v>
      </c>
      <c r="AK187" s="44" t="s">
        <v>171</v>
      </c>
    </row>
    <row r="188" spans="1:37">
      <c r="B188" s="44" t="s">
        <v>706</v>
      </c>
      <c r="C188" s="44" t="s">
        <v>706</v>
      </c>
      <c r="D188" s="44" t="s">
        <v>1428</v>
      </c>
      <c r="E188" s="44" t="s">
        <v>1207</v>
      </c>
      <c r="F188" s="44" t="s">
        <v>1429</v>
      </c>
      <c r="G188" s="44" t="s">
        <v>1430</v>
      </c>
      <c r="I188" s="45">
        <v>44959.656483645835</v>
      </c>
      <c r="J188" s="44" t="s">
        <v>1785</v>
      </c>
      <c r="K188" s="44" t="s">
        <v>2618</v>
      </c>
      <c r="M188" s="44" t="s">
        <v>707</v>
      </c>
      <c r="N188" s="46">
        <f>VLOOKUP(M188,'Spend Export'!$B:$E,4,FALSE)</f>
        <v>43200</v>
      </c>
      <c r="O188" s="44" t="s">
        <v>1429</v>
      </c>
      <c r="P188" s="44" t="s">
        <v>2619</v>
      </c>
      <c r="Q188" s="44" t="s">
        <v>1429</v>
      </c>
      <c r="R188" s="44" t="s">
        <v>20</v>
      </c>
      <c r="S188" s="44" t="s">
        <v>19</v>
      </c>
      <c r="T188" s="44" t="s">
        <v>1484</v>
      </c>
      <c r="U188" s="44" t="s">
        <v>1484</v>
      </c>
      <c r="V188" s="44" t="s">
        <v>2620</v>
      </c>
      <c r="W188" s="44" t="s">
        <v>2621</v>
      </c>
      <c r="X188" s="44" t="s">
        <v>1461</v>
      </c>
      <c r="Y188" s="44" t="s">
        <v>1429</v>
      </c>
      <c r="Z188" s="44" t="s">
        <v>1429</v>
      </c>
      <c r="AG188" s="44" t="s">
        <v>2319</v>
      </c>
      <c r="AI188" s="44" t="s">
        <v>2622</v>
      </c>
      <c r="AK188" s="44" t="s">
        <v>707</v>
      </c>
    </row>
    <row r="189" spans="1:37">
      <c r="B189" s="44" t="s">
        <v>550</v>
      </c>
      <c r="C189" s="44" t="s">
        <v>550</v>
      </c>
      <c r="D189" s="44" t="s">
        <v>2623</v>
      </c>
      <c r="E189" s="44" t="s">
        <v>1572</v>
      </c>
      <c r="F189" s="44" t="s">
        <v>2624</v>
      </c>
      <c r="G189" s="44" t="s">
        <v>1430</v>
      </c>
      <c r="I189" s="45">
        <v>41536.670059490738</v>
      </c>
      <c r="K189" s="44" t="s">
        <v>2625</v>
      </c>
      <c r="M189" s="44" t="s">
        <v>551</v>
      </c>
      <c r="N189" s="46">
        <f>VLOOKUP(M189,'Spend Export'!$B:$E,4,FALSE)</f>
        <v>42972.619999999995</v>
      </c>
      <c r="P189" s="44" t="s">
        <v>1429</v>
      </c>
      <c r="Q189" s="44" t="s">
        <v>1429</v>
      </c>
      <c r="R189" s="44" t="s">
        <v>20</v>
      </c>
      <c r="S189" s="44" t="s">
        <v>19</v>
      </c>
      <c r="T189" s="44" t="s">
        <v>1964</v>
      </c>
      <c r="U189" s="44" t="s">
        <v>1964</v>
      </c>
      <c r="V189" s="44" t="s">
        <v>2626</v>
      </c>
      <c r="W189" s="44" t="s">
        <v>2627</v>
      </c>
      <c r="X189" s="44" t="s">
        <v>1461</v>
      </c>
      <c r="Y189" s="44" t="s">
        <v>1429</v>
      </c>
      <c r="Z189" s="44" t="s">
        <v>1429</v>
      </c>
      <c r="AI189" s="44" t="s">
        <v>2628</v>
      </c>
      <c r="AK189" s="44" t="s">
        <v>551</v>
      </c>
    </row>
    <row r="190" spans="1:37">
      <c r="B190" s="44" t="s">
        <v>660</v>
      </c>
      <c r="C190" s="44" t="s">
        <v>660</v>
      </c>
      <c r="D190" s="44" t="s">
        <v>2629</v>
      </c>
      <c r="E190" s="44" t="s">
        <v>2630</v>
      </c>
      <c r="F190" s="44" t="s">
        <v>2631</v>
      </c>
      <c r="G190" s="44" t="s">
        <v>1430</v>
      </c>
      <c r="I190" s="45">
        <v>41606.480571412038</v>
      </c>
      <c r="K190" s="44" t="s">
        <v>2632</v>
      </c>
      <c r="M190" s="44" t="s">
        <v>661</v>
      </c>
      <c r="N190" s="46">
        <f>VLOOKUP(M190,'Spend Export'!$B:$E,4,FALSE)</f>
        <v>42800</v>
      </c>
      <c r="O190" s="44" t="s">
        <v>1429</v>
      </c>
      <c r="P190" s="44" t="s">
        <v>2633</v>
      </c>
      <c r="Q190" s="44" t="s">
        <v>1429</v>
      </c>
      <c r="R190" s="44" t="s">
        <v>19</v>
      </c>
      <c r="S190" s="44" t="s">
        <v>19</v>
      </c>
      <c r="T190" s="44" t="s">
        <v>1980</v>
      </c>
      <c r="U190" s="44" t="s">
        <v>1708</v>
      </c>
      <c r="V190" s="44" t="s">
        <v>2631</v>
      </c>
      <c r="W190" s="44" t="s">
        <v>2631</v>
      </c>
      <c r="X190" s="44" t="s">
        <v>1450</v>
      </c>
      <c r="Y190" s="44" t="s">
        <v>1429</v>
      </c>
      <c r="Z190" s="44" t="s">
        <v>1386</v>
      </c>
      <c r="AG190" s="44" t="s">
        <v>1981</v>
      </c>
      <c r="AI190" s="44" t="s">
        <v>2634</v>
      </c>
      <c r="AK190" s="44" t="s">
        <v>661</v>
      </c>
    </row>
    <row r="191" spans="1:37">
      <c r="B191" s="44" t="s">
        <v>686</v>
      </c>
      <c r="C191" s="44" t="s">
        <v>686</v>
      </c>
      <c r="D191" s="44" t="s">
        <v>2635</v>
      </c>
      <c r="E191" s="44" t="s">
        <v>1491</v>
      </c>
      <c r="F191" s="44" t="s">
        <v>1429</v>
      </c>
      <c r="G191" s="44" t="s">
        <v>1430</v>
      </c>
      <c r="I191" s="45">
        <v>44022.425815625</v>
      </c>
      <c r="J191" s="44" t="s">
        <v>2636</v>
      </c>
      <c r="K191" s="44" t="s">
        <v>2637</v>
      </c>
      <c r="M191" s="44" t="s">
        <v>687</v>
      </c>
      <c r="N191" s="46">
        <f>VLOOKUP(M191,'Spend Export'!$B:$E,4,FALSE)</f>
        <v>42608.74</v>
      </c>
      <c r="P191" s="44" t="s">
        <v>2638</v>
      </c>
      <c r="Q191" s="44" t="s">
        <v>1429</v>
      </c>
      <c r="R191" s="44" t="s">
        <v>20</v>
      </c>
      <c r="S191" s="44" t="s">
        <v>19</v>
      </c>
      <c r="T191" s="44" t="s">
        <v>1509</v>
      </c>
      <c r="U191" s="44" t="s">
        <v>1509</v>
      </c>
      <c r="V191" s="44" t="s">
        <v>2639</v>
      </c>
      <c r="W191" s="44" t="s">
        <v>2640</v>
      </c>
      <c r="X191" s="44" t="s">
        <v>1461</v>
      </c>
      <c r="Y191" s="44" t="s">
        <v>1429</v>
      </c>
      <c r="Z191" s="44" t="s">
        <v>1386</v>
      </c>
      <c r="AI191" s="44" t="s">
        <v>2641</v>
      </c>
      <c r="AK191" s="44" t="s">
        <v>687</v>
      </c>
    </row>
    <row r="192" spans="1:37">
      <c r="B192" s="44" t="s">
        <v>186</v>
      </c>
      <c r="C192" s="44" t="s">
        <v>186</v>
      </c>
      <c r="D192" s="44" t="s">
        <v>2642</v>
      </c>
      <c r="E192" s="44" t="s">
        <v>1207</v>
      </c>
      <c r="F192" s="44" t="s">
        <v>2643</v>
      </c>
      <c r="G192" s="44" t="s">
        <v>1430</v>
      </c>
      <c r="I192" s="45">
        <v>42144.439339004632</v>
      </c>
      <c r="K192" s="44" t="s">
        <v>2644</v>
      </c>
      <c r="M192" s="44" t="s">
        <v>187</v>
      </c>
      <c r="N192" s="46">
        <f>VLOOKUP(M192,'Spend Export'!$B:$E,4,FALSE)</f>
        <v>41649.869999999995</v>
      </c>
      <c r="P192" s="44" t="s">
        <v>2645</v>
      </c>
      <c r="Q192" s="44" t="s">
        <v>1429</v>
      </c>
      <c r="R192" s="44" t="s">
        <v>19</v>
      </c>
      <c r="S192" s="44" t="s">
        <v>19</v>
      </c>
      <c r="T192" s="44" t="s">
        <v>1484</v>
      </c>
      <c r="U192" s="44" t="s">
        <v>1484</v>
      </c>
      <c r="V192" s="44" t="s">
        <v>2646</v>
      </c>
      <c r="W192" s="44" t="s">
        <v>2643</v>
      </c>
      <c r="X192" s="44" t="s">
        <v>1461</v>
      </c>
      <c r="Y192" s="44" t="s">
        <v>1429</v>
      </c>
      <c r="Z192" s="44" t="s">
        <v>1429</v>
      </c>
      <c r="AG192" s="44" t="s">
        <v>2647</v>
      </c>
      <c r="AK192" s="44" t="s">
        <v>187</v>
      </c>
    </row>
    <row r="193" spans="1:37">
      <c r="B193" s="44" t="s">
        <v>343</v>
      </c>
      <c r="C193" s="44" t="s">
        <v>343</v>
      </c>
      <c r="D193" s="44" t="s">
        <v>2648</v>
      </c>
      <c r="E193" s="44" t="s">
        <v>2649</v>
      </c>
      <c r="F193" s="44" t="s">
        <v>1429</v>
      </c>
      <c r="G193" s="44" t="s">
        <v>1430</v>
      </c>
      <c r="I193" s="45">
        <v>41701.47419375</v>
      </c>
      <c r="K193" s="44" t="s">
        <v>2650</v>
      </c>
      <c r="M193" s="44" t="s">
        <v>344</v>
      </c>
      <c r="N193" s="46">
        <f>VLOOKUP(M193,'Spend Export'!$B:$E,4,FALSE)</f>
        <v>40580.03</v>
      </c>
      <c r="P193" s="44" t="s">
        <v>2651</v>
      </c>
      <c r="Q193" s="44" t="s">
        <v>1429</v>
      </c>
      <c r="R193" s="44" t="s">
        <v>19</v>
      </c>
      <c r="S193" s="44" t="s">
        <v>19</v>
      </c>
      <c r="T193" s="44" t="s">
        <v>1484</v>
      </c>
      <c r="U193" s="44" t="s">
        <v>1484</v>
      </c>
      <c r="X193" s="44" t="s">
        <v>1439</v>
      </c>
      <c r="Y193" s="44" t="s">
        <v>1429</v>
      </c>
      <c r="Z193" s="44" t="s">
        <v>1429</v>
      </c>
      <c r="AG193" s="44" t="s">
        <v>2652</v>
      </c>
      <c r="AI193" s="44" t="s">
        <v>2653</v>
      </c>
      <c r="AK193" s="44" t="s">
        <v>344</v>
      </c>
    </row>
    <row r="194" spans="1:37">
      <c r="B194" s="44" t="s">
        <v>442</v>
      </c>
      <c r="C194" s="44" t="s">
        <v>442</v>
      </c>
      <c r="D194" s="44" t="s">
        <v>2457</v>
      </c>
      <c r="E194" s="44" t="s">
        <v>2005</v>
      </c>
      <c r="F194" s="44" t="s">
        <v>1429</v>
      </c>
      <c r="G194" s="44" t="s">
        <v>1430</v>
      </c>
      <c r="I194" s="45">
        <v>39422.513115011578</v>
      </c>
      <c r="K194" s="44" t="s">
        <v>2654</v>
      </c>
      <c r="M194" s="44" t="s">
        <v>443</v>
      </c>
      <c r="N194" s="46">
        <f>VLOOKUP(M194,'Spend Export'!$B:$E,4,FALSE)</f>
        <v>40571.040000000001</v>
      </c>
      <c r="P194" s="44" t="s">
        <v>2655</v>
      </c>
      <c r="Q194" s="44" t="s">
        <v>1429</v>
      </c>
      <c r="R194" s="44" t="s">
        <v>20</v>
      </c>
      <c r="S194" s="44" t="s">
        <v>19</v>
      </c>
      <c r="T194" s="44" t="s">
        <v>1519</v>
      </c>
      <c r="U194" s="44" t="s">
        <v>1519</v>
      </c>
      <c r="V194" s="44" t="s">
        <v>2656</v>
      </c>
      <c r="W194" s="44" t="s">
        <v>2657</v>
      </c>
      <c r="X194" s="44" t="s">
        <v>1450</v>
      </c>
      <c r="Y194" s="44" t="s">
        <v>1429</v>
      </c>
      <c r="Z194" s="44" t="s">
        <v>1429</v>
      </c>
      <c r="AA194" s="44" t="s">
        <v>1761</v>
      </c>
      <c r="AK194" s="44" t="s">
        <v>443</v>
      </c>
    </row>
    <row r="195" spans="1:37">
      <c r="A195" s="44" t="s">
        <v>2398</v>
      </c>
      <c r="B195" s="44" t="s">
        <v>131</v>
      </c>
      <c r="C195" s="44" t="s">
        <v>131</v>
      </c>
      <c r="D195" s="44" t="s">
        <v>1428</v>
      </c>
      <c r="E195" s="44" t="s">
        <v>1207</v>
      </c>
      <c r="F195" s="44" t="s">
        <v>1429</v>
      </c>
      <c r="G195" s="44" t="s">
        <v>1430</v>
      </c>
      <c r="H195" s="44" t="s">
        <v>1431</v>
      </c>
      <c r="I195" s="45">
        <v>39939.50839008102</v>
      </c>
      <c r="K195" s="44" t="s">
        <v>2658</v>
      </c>
      <c r="M195" s="44" t="s">
        <v>132</v>
      </c>
      <c r="N195" s="46">
        <f>VLOOKUP(M195,'Spend Export'!$B:$E,4,FALSE)</f>
        <v>40360.520000000004</v>
      </c>
      <c r="O195" s="44" t="s">
        <v>1429</v>
      </c>
      <c r="P195" s="44" t="s">
        <v>2659</v>
      </c>
      <c r="Q195" s="44" t="s">
        <v>1429</v>
      </c>
      <c r="R195" s="44" t="s">
        <v>20</v>
      </c>
      <c r="S195" s="44" t="s">
        <v>19</v>
      </c>
      <c r="T195" s="44" t="s">
        <v>2660</v>
      </c>
      <c r="U195" s="44" t="s">
        <v>1484</v>
      </c>
      <c r="V195" s="44" t="s">
        <v>2661</v>
      </c>
      <c r="W195" s="44" t="s">
        <v>2662</v>
      </c>
      <c r="X195" s="44" t="s">
        <v>1450</v>
      </c>
      <c r="Y195" s="44" t="s">
        <v>1429</v>
      </c>
      <c r="Z195" s="44" t="s">
        <v>1386</v>
      </c>
      <c r="AG195" s="44" t="s">
        <v>2663</v>
      </c>
      <c r="AI195" s="44" t="s">
        <v>2664</v>
      </c>
      <c r="AK195" s="44" t="s">
        <v>132</v>
      </c>
    </row>
    <row r="196" spans="1:37">
      <c r="B196" s="44" t="s">
        <v>244</v>
      </c>
      <c r="C196" s="44" t="s">
        <v>244</v>
      </c>
      <c r="D196" s="44" t="s">
        <v>1466</v>
      </c>
      <c r="E196" s="44" t="s">
        <v>1207</v>
      </c>
      <c r="F196" s="44" t="s">
        <v>1429</v>
      </c>
      <c r="G196" s="44" t="s">
        <v>1430</v>
      </c>
      <c r="I196" s="45">
        <v>37918.596133182873</v>
      </c>
      <c r="K196" s="44" t="s">
        <v>2665</v>
      </c>
      <c r="M196" s="44" t="s">
        <v>245</v>
      </c>
      <c r="N196" s="46" t="e">
        <f>VLOOKUP(M196,'Spend Export'!$B:$E,4,FALSE)</f>
        <v>#N/A</v>
      </c>
      <c r="O196" s="44" t="s">
        <v>1429</v>
      </c>
      <c r="P196" s="44" t="s">
        <v>2666</v>
      </c>
      <c r="Q196" s="44" t="s">
        <v>1429</v>
      </c>
      <c r="R196" s="44" t="s">
        <v>20</v>
      </c>
      <c r="S196" s="44" t="s">
        <v>19</v>
      </c>
      <c r="T196" s="44" t="s">
        <v>1458</v>
      </c>
      <c r="U196" s="44" t="s">
        <v>1458</v>
      </c>
      <c r="V196" s="44" t="s">
        <v>2667</v>
      </c>
      <c r="W196" s="44" t="s">
        <v>2668</v>
      </c>
      <c r="X196" s="44" t="s">
        <v>1450</v>
      </c>
      <c r="Y196" s="44" t="s">
        <v>1429</v>
      </c>
      <c r="Z196" s="44" t="s">
        <v>1429</v>
      </c>
      <c r="AA196" s="44" t="s">
        <v>1761</v>
      </c>
      <c r="AK196" s="44" t="s">
        <v>245</v>
      </c>
    </row>
    <row r="197" spans="1:37">
      <c r="B197" s="44" t="s">
        <v>374</v>
      </c>
      <c r="C197" s="44" t="s">
        <v>374</v>
      </c>
      <c r="D197" s="44" t="s">
        <v>1428</v>
      </c>
      <c r="E197" s="44" t="s">
        <v>1207</v>
      </c>
      <c r="F197" s="44" t="s">
        <v>2669</v>
      </c>
      <c r="G197" s="44" t="s">
        <v>1430</v>
      </c>
      <c r="I197" s="45">
        <v>41138.48706871528</v>
      </c>
      <c r="K197" s="44" t="s">
        <v>2670</v>
      </c>
      <c r="M197" s="44" t="s">
        <v>375</v>
      </c>
      <c r="N197" s="46">
        <f>VLOOKUP(M197,'Spend Export'!$B:$E,4,FALSE)</f>
        <v>39366</v>
      </c>
      <c r="P197" s="44" t="s">
        <v>2671</v>
      </c>
      <c r="Q197" s="44" t="s">
        <v>1429</v>
      </c>
      <c r="R197" s="44" t="s">
        <v>20</v>
      </c>
      <c r="S197" s="44" t="s">
        <v>19</v>
      </c>
      <c r="T197" s="44" t="s">
        <v>1484</v>
      </c>
      <c r="U197" s="44" t="s">
        <v>1484</v>
      </c>
      <c r="X197" s="44" t="s">
        <v>1439</v>
      </c>
      <c r="Y197" s="44" t="s">
        <v>1429</v>
      </c>
      <c r="Z197" s="44" t="s">
        <v>1429</v>
      </c>
      <c r="AK197" s="44" t="s">
        <v>375</v>
      </c>
    </row>
    <row r="198" spans="1:37">
      <c r="B198" s="44" t="s">
        <v>213</v>
      </c>
      <c r="C198" s="44" t="s">
        <v>2672</v>
      </c>
      <c r="D198" s="44" t="s">
        <v>1466</v>
      </c>
      <c r="E198" s="44" t="s">
        <v>1207</v>
      </c>
      <c r="F198" s="44" t="s">
        <v>1429</v>
      </c>
      <c r="G198" s="44" t="s">
        <v>1430</v>
      </c>
      <c r="I198" s="45">
        <v>39763.433880555553</v>
      </c>
      <c r="K198" s="44" t="s">
        <v>1778</v>
      </c>
      <c r="L198" s="44" t="s">
        <v>1779</v>
      </c>
      <c r="M198" s="44" t="s">
        <v>351</v>
      </c>
      <c r="N198" s="46">
        <f>VLOOKUP(M198,'Spend Export'!$B:$E,4,FALSE)</f>
        <v>39111.040000000001</v>
      </c>
      <c r="O198" s="44" t="s">
        <v>1429</v>
      </c>
      <c r="P198" s="44" t="s">
        <v>1780</v>
      </c>
      <c r="Q198" s="44" t="s">
        <v>1429</v>
      </c>
      <c r="R198" s="44" t="s">
        <v>19</v>
      </c>
      <c r="S198" s="44" t="s">
        <v>19</v>
      </c>
      <c r="T198" s="44" t="s">
        <v>1708</v>
      </c>
      <c r="U198" s="44" t="s">
        <v>1708</v>
      </c>
      <c r="V198" s="44" t="s">
        <v>2094</v>
      </c>
      <c r="W198" s="44" t="s">
        <v>2673</v>
      </c>
      <c r="X198" s="44" t="s">
        <v>1450</v>
      </c>
      <c r="Y198" s="44" t="s">
        <v>1429</v>
      </c>
      <c r="Z198" s="44" t="s">
        <v>1386</v>
      </c>
      <c r="AG198" s="44" t="s">
        <v>1487</v>
      </c>
      <c r="AK198" s="44" t="s">
        <v>351</v>
      </c>
    </row>
    <row r="199" spans="1:37">
      <c r="B199" s="44" t="s">
        <v>495</v>
      </c>
      <c r="C199" s="44" t="s">
        <v>495</v>
      </c>
      <c r="D199" s="44" t="s">
        <v>1562</v>
      </c>
      <c r="E199" s="44" t="s">
        <v>1207</v>
      </c>
      <c r="F199" s="44" t="s">
        <v>1429</v>
      </c>
      <c r="G199" s="44" t="s">
        <v>1430</v>
      </c>
      <c r="I199" s="45">
        <v>44516.471805752313</v>
      </c>
      <c r="J199" s="44" t="s">
        <v>2674</v>
      </c>
      <c r="K199" s="44" t="s">
        <v>2675</v>
      </c>
      <c r="M199" s="44" t="s">
        <v>496</v>
      </c>
      <c r="N199" s="46">
        <f>VLOOKUP(M199,'Spend Export'!$B:$E,4,FALSE)</f>
        <v>39100</v>
      </c>
      <c r="O199" s="44" t="s">
        <v>1429</v>
      </c>
      <c r="P199" s="44" t="s">
        <v>2676</v>
      </c>
      <c r="Q199" s="44" t="s">
        <v>1429</v>
      </c>
      <c r="R199" s="44" t="s">
        <v>20</v>
      </c>
      <c r="S199" s="44" t="s">
        <v>19</v>
      </c>
      <c r="T199" s="44" t="s">
        <v>1502</v>
      </c>
      <c r="U199" s="44" t="s">
        <v>1502</v>
      </c>
      <c r="V199" s="44" t="s">
        <v>2677</v>
      </c>
      <c r="W199" s="44" t="s">
        <v>2678</v>
      </c>
      <c r="X199" s="44" t="s">
        <v>1450</v>
      </c>
      <c r="Y199" s="44" t="s">
        <v>1386</v>
      </c>
      <c r="Z199" s="44" t="s">
        <v>1429</v>
      </c>
      <c r="AI199" s="44" t="s">
        <v>2679</v>
      </c>
      <c r="AK199" s="44" t="s">
        <v>496</v>
      </c>
    </row>
    <row r="200" spans="1:37">
      <c r="B200" s="44" t="s">
        <v>812</v>
      </c>
      <c r="C200" s="44" t="s">
        <v>812</v>
      </c>
      <c r="D200" s="44" t="s">
        <v>1443</v>
      </c>
      <c r="E200" s="44" t="s">
        <v>1207</v>
      </c>
      <c r="F200" s="44" t="s">
        <v>2680</v>
      </c>
      <c r="G200" s="44" t="s">
        <v>1430</v>
      </c>
      <c r="I200" s="45">
        <v>41680.657646215281</v>
      </c>
      <c r="K200" s="44" t="s">
        <v>2681</v>
      </c>
      <c r="M200" s="44" t="s">
        <v>813</v>
      </c>
      <c r="N200" s="46">
        <f>VLOOKUP(M200,'Spend Export'!$B:$E,4,FALSE)</f>
        <v>38686.380000000005</v>
      </c>
      <c r="P200" s="44" t="s">
        <v>2682</v>
      </c>
      <c r="Q200" s="44" t="s">
        <v>1429</v>
      </c>
      <c r="R200" s="44" t="s">
        <v>20</v>
      </c>
      <c r="S200" s="44" t="s">
        <v>19</v>
      </c>
      <c r="T200" s="44" t="s">
        <v>1484</v>
      </c>
      <c r="U200" s="44" t="s">
        <v>1484</v>
      </c>
      <c r="X200" s="44" t="s">
        <v>1439</v>
      </c>
      <c r="Y200" s="44" t="s">
        <v>1429</v>
      </c>
      <c r="Z200" s="44" t="s">
        <v>1429</v>
      </c>
      <c r="AK200" s="44" t="s">
        <v>813</v>
      </c>
    </row>
    <row r="201" spans="1:37">
      <c r="B201" s="44" t="s">
        <v>129</v>
      </c>
      <c r="C201" s="44" t="s">
        <v>129</v>
      </c>
      <c r="D201" s="44" t="s">
        <v>1428</v>
      </c>
      <c r="E201" s="44" t="s">
        <v>1207</v>
      </c>
      <c r="F201" s="44" t="s">
        <v>2683</v>
      </c>
      <c r="G201" s="44" t="s">
        <v>1430</v>
      </c>
      <c r="I201" s="45">
        <v>42264.524520486113</v>
      </c>
      <c r="K201" s="44" t="s">
        <v>2684</v>
      </c>
      <c r="M201" s="44" t="s">
        <v>130</v>
      </c>
      <c r="N201" s="46">
        <f>VLOOKUP(M201,'Spend Export'!$B:$E,4,FALSE)</f>
        <v>38500</v>
      </c>
      <c r="P201" s="44" t="s">
        <v>2685</v>
      </c>
      <c r="Q201" s="44" t="s">
        <v>1386</v>
      </c>
      <c r="R201" s="44" t="s">
        <v>20</v>
      </c>
      <c r="S201" s="44" t="s">
        <v>19</v>
      </c>
      <c r="T201" s="44" t="s">
        <v>1502</v>
      </c>
      <c r="U201" s="44" t="s">
        <v>1502</v>
      </c>
      <c r="V201" s="44" t="s">
        <v>2686</v>
      </c>
      <c r="W201" s="44" t="s">
        <v>2683</v>
      </c>
      <c r="X201" s="44" t="s">
        <v>1450</v>
      </c>
      <c r="Y201" s="44" t="s">
        <v>1429</v>
      </c>
      <c r="Z201" s="44" t="s">
        <v>1386</v>
      </c>
      <c r="AK201" s="44" t="s">
        <v>130</v>
      </c>
    </row>
    <row r="202" spans="1:37">
      <c r="B202" s="44" t="s">
        <v>2687</v>
      </c>
      <c r="C202" s="44" t="s">
        <v>2687</v>
      </c>
      <c r="D202" s="44" t="s">
        <v>1428</v>
      </c>
      <c r="E202" s="44" t="s">
        <v>1207</v>
      </c>
      <c r="F202" s="44" t="s">
        <v>1429</v>
      </c>
      <c r="G202" s="44" t="s">
        <v>1430</v>
      </c>
      <c r="I202" s="45">
        <v>37918.702238194448</v>
      </c>
      <c r="K202" s="44" t="s">
        <v>2688</v>
      </c>
      <c r="M202" s="44" t="s">
        <v>381</v>
      </c>
      <c r="N202" s="46">
        <f>VLOOKUP(M202,'Spend Export'!$B:$E,4,FALSE)</f>
        <v>38185.5</v>
      </c>
      <c r="O202" s="44" t="s">
        <v>1429</v>
      </c>
      <c r="P202" s="44" t="s">
        <v>2689</v>
      </c>
      <c r="Q202" s="44" t="s">
        <v>1386</v>
      </c>
      <c r="R202" s="44" t="s">
        <v>19</v>
      </c>
      <c r="S202" s="44" t="s">
        <v>19</v>
      </c>
      <c r="T202" s="44" t="s">
        <v>2690</v>
      </c>
      <c r="U202" s="44" t="s">
        <v>1964</v>
      </c>
      <c r="V202" s="44" t="s">
        <v>1965</v>
      </c>
      <c r="W202" s="44" t="s">
        <v>1966</v>
      </c>
      <c r="X202" s="44" t="s">
        <v>1450</v>
      </c>
      <c r="Y202" s="44" t="s">
        <v>1429</v>
      </c>
      <c r="Z202" s="44" t="s">
        <v>1386</v>
      </c>
      <c r="AA202" s="44" t="s">
        <v>1488</v>
      </c>
      <c r="AI202" s="44" t="s">
        <v>2691</v>
      </c>
      <c r="AK202" s="44" t="s">
        <v>381</v>
      </c>
    </row>
    <row r="203" spans="1:37">
      <c r="B203" s="44" t="s">
        <v>680</v>
      </c>
      <c r="C203" s="44" t="s">
        <v>2692</v>
      </c>
      <c r="D203" s="44" t="s">
        <v>2693</v>
      </c>
      <c r="E203" s="44" t="s">
        <v>1207</v>
      </c>
      <c r="F203" s="44" t="s">
        <v>1429</v>
      </c>
      <c r="G203" s="44" t="s">
        <v>1430</v>
      </c>
      <c r="I203" s="45">
        <v>44253.561092708333</v>
      </c>
      <c r="J203" s="44" t="s">
        <v>2694</v>
      </c>
      <c r="K203" s="44" t="s">
        <v>2695</v>
      </c>
      <c r="M203" s="44" t="s">
        <v>681</v>
      </c>
      <c r="N203" s="46">
        <f>VLOOKUP(M203,'Spend Export'!$B:$E,4,FALSE)</f>
        <v>37651.990000000005</v>
      </c>
      <c r="O203" s="44" t="s">
        <v>1429</v>
      </c>
      <c r="P203" s="44" t="s">
        <v>2696</v>
      </c>
      <c r="Q203" s="44" t="s">
        <v>1429</v>
      </c>
      <c r="R203" s="44" t="s">
        <v>19</v>
      </c>
      <c r="S203" s="44" t="s">
        <v>19</v>
      </c>
      <c r="T203" s="44" t="s">
        <v>2697</v>
      </c>
      <c r="U203" s="44" t="s">
        <v>1708</v>
      </c>
      <c r="V203" s="44" t="s">
        <v>2698</v>
      </c>
      <c r="W203" s="44" t="s">
        <v>2699</v>
      </c>
      <c r="X203" s="44" t="s">
        <v>1450</v>
      </c>
      <c r="Y203" s="44" t="s">
        <v>1429</v>
      </c>
      <c r="Z203" s="44" t="s">
        <v>1429</v>
      </c>
      <c r="AH203" s="44" t="s">
        <v>2700</v>
      </c>
      <c r="AI203" s="44" t="s">
        <v>2701</v>
      </c>
      <c r="AK203" s="44" t="s">
        <v>681</v>
      </c>
    </row>
    <row r="204" spans="1:37">
      <c r="B204" s="44" t="s">
        <v>284</v>
      </c>
      <c r="C204" s="44" t="s">
        <v>284</v>
      </c>
      <c r="D204" s="44" t="s">
        <v>1428</v>
      </c>
      <c r="E204" s="44" t="s">
        <v>1207</v>
      </c>
      <c r="F204" s="44" t="s">
        <v>1429</v>
      </c>
      <c r="G204" s="44" t="s">
        <v>1430</v>
      </c>
      <c r="I204" s="45">
        <v>40919.421178738427</v>
      </c>
      <c r="K204" s="44" t="s">
        <v>2702</v>
      </c>
      <c r="M204" s="44" t="s">
        <v>285</v>
      </c>
      <c r="N204" s="46">
        <f>VLOOKUP(M204,'Spend Export'!$B:$E,4,FALSE)</f>
        <v>37360</v>
      </c>
      <c r="P204" s="44" t="s">
        <v>2703</v>
      </c>
      <c r="Q204" s="44" t="s">
        <v>1429</v>
      </c>
      <c r="R204" s="44" t="s">
        <v>20</v>
      </c>
      <c r="S204" s="44" t="s">
        <v>19</v>
      </c>
      <c r="T204" s="44" t="s">
        <v>2704</v>
      </c>
      <c r="U204" s="44" t="s">
        <v>1502</v>
      </c>
      <c r="X204" s="44" t="s">
        <v>1439</v>
      </c>
      <c r="Y204" s="44" t="s">
        <v>1429</v>
      </c>
      <c r="Z204" s="44" t="s">
        <v>1429</v>
      </c>
      <c r="AH204" s="44" t="s">
        <v>1503</v>
      </c>
      <c r="AK204" s="44" t="s">
        <v>285</v>
      </c>
    </row>
    <row r="205" spans="1:37">
      <c r="B205" s="44" t="s">
        <v>796</v>
      </c>
      <c r="C205" s="44" t="s">
        <v>796</v>
      </c>
      <c r="D205" s="44" t="s">
        <v>1428</v>
      </c>
      <c r="E205" s="44" t="s">
        <v>1207</v>
      </c>
      <c r="F205" s="44" t="s">
        <v>1429</v>
      </c>
      <c r="G205" s="44" t="s">
        <v>1430</v>
      </c>
      <c r="I205" s="45">
        <v>44859.655093437497</v>
      </c>
      <c r="J205" s="44" t="s">
        <v>2705</v>
      </c>
      <c r="K205" s="44" t="s">
        <v>2706</v>
      </c>
      <c r="M205" s="44" t="s">
        <v>797</v>
      </c>
      <c r="N205" s="46">
        <f>VLOOKUP(M205,'Spend Export'!$B:$E,4,FALSE)</f>
        <v>37143.020000000004</v>
      </c>
      <c r="O205" s="44" t="s">
        <v>1429</v>
      </c>
      <c r="P205" s="44" t="s">
        <v>2707</v>
      </c>
      <c r="Q205" s="44" t="s">
        <v>1429</v>
      </c>
      <c r="R205" s="44" t="s">
        <v>20</v>
      </c>
      <c r="S205" s="44" t="s">
        <v>19</v>
      </c>
      <c r="T205" s="44" t="s">
        <v>1484</v>
      </c>
      <c r="U205" s="44" t="s">
        <v>1484</v>
      </c>
      <c r="V205" s="44" t="s">
        <v>2708</v>
      </c>
      <c r="W205" s="44" t="s">
        <v>2709</v>
      </c>
      <c r="X205" s="44" t="s">
        <v>1439</v>
      </c>
      <c r="Y205" s="44" t="s">
        <v>1429</v>
      </c>
      <c r="Z205" s="44" t="s">
        <v>1429</v>
      </c>
      <c r="AI205" s="44" t="s">
        <v>2710</v>
      </c>
      <c r="AK205" s="44" t="s">
        <v>797</v>
      </c>
    </row>
    <row r="206" spans="1:37">
      <c r="B206" s="44" t="s">
        <v>199</v>
      </c>
      <c r="C206" s="44" t="s">
        <v>199</v>
      </c>
      <c r="D206" s="44" t="s">
        <v>1769</v>
      </c>
      <c r="E206" s="44" t="s">
        <v>1207</v>
      </c>
      <c r="F206" s="44" t="s">
        <v>1429</v>
      </c>
      <c r="G206" s="44" t="s">
        <v>1430</v>
      </c>
      <c r="I206" s="45">
        <v>37918.896111226852</v>
      </c>
      <c r="K206" s="44" t="s">
        <v>2711</v>
      </c>
      <c r="L206" s="44" t="s">
        <v>2712</v>
      </c>
      <c r="M206" s="44" t="s">
        <v>200</v>
      </c>
      <c r="N206" s="46">
        <f>VLOOKUP(M206,'Spend Export'!$B:$E,4,FALSE)</f>
        <v>37035</v>
      </c>
      <c r="P206" s="44" t="s">
        <v>2713</v>
      </c>
      <c r="Q206" s="44" t="s">
        <v>1429</v>
      </c>
      <c r="R206" s="44" t="s">
        <v>19</v>
      </c>
      <c r="S206" s="44" t="s">
        <v>19</v>
      </c>
      <c r="T206" s="44" t="s">
        <v>1708</v>
      </c>
      <c r="U206" s="44" t="s">
        <v>1708</v>
      </c>
      <c r="V206" s="44" t="s">
        <v>2714</v>
      </c>
      <c r="W206" s="44" t="s">
        <v>2715</v>
      </c>
      <c r="X206" s="44" t="s">
        <v>1439</v>
      </c>
      <c r="Y206" s="44" t="s">
        <v>1429</v>
      </c>
      <c r="Z206" s="44" t="s">
        <v>1386</v>
      </c>
      <c r="AK206" s="44" t="s">
        <v>200</v>
      </c>
    </row>
    <row r="207" spans="1:37">
      <c r="A207" s="44" t="s">
        <v>2716</v>
      </c>
      <c r="B207" s="44" t="s">
        <v>574</v>
      </c>
      <c r="C207" s="44" t="s">
        <v>574</v>
      </c>
      <c r="D207" s="44" t="s">
        <v>2354</v>
      </c>
      <c r="E207" s="44" t="s">
        <v>1682</v>
      </c>
      <c r="F207" s="44" t="s">
        <v>1429</v>
      </c>
      <c r="G207" s="44" t="s">
        <v>1430</v>
      </c>
      <c r="H207" s="44" t="s">
        <v>1431</v>
      </c>
      <c r="I207" s="45">
        <v>41988.515954745373</v>
      </c>
      <c r="J207" s="44" t="s">
        <v>1785</v>
      </c>
      <c r="K207" s="44" t="s">
        <v>2717</v>
      </c>
      <c r="M207" s="44" t="s">
        <v>1000</v>
      </c>
      <c r="N207" s="46">
        <f>VLOOKUP(M207,'Spend Export'!$B:$E,4,FALSE)</f>
        <v>36815.22</v>
      </c>
      <c r="O207" s="44" t="s">
        <v>1429</v>
      </c>
      <c r="P207" s="44" t="s">
        <v>2718</v>
      </c>
      <c r="Q207" s="44" t="s">
        <v>1429</v>
      </c>
      <c r="R207" s="44" t="s">
        <v>20</v>
      </c>
      <c r="S207" s="44" t="s">
        <v>19</v>
      </c>
      <c r="T207" s="44" t="s">
        <v>1664</v>
      </c>
      <c r="U207" s="44" t="s">
        <v>1556</v>
      </c>
      <c r="V207" s="44" t="s">
        <v>2719</v>
      </c>
      <c r="W207" s="44" t="s">
        <v>2720</v>
      </c>
      <c r="X207" s="44" t="s">
        <v>1439</v>
      </c>
      <c r="Y207" s="44" t="s">
        <v>1429</v>
      </c>
      <c r="Z207" s="44" t="s">
        <v>1429</v>
      </c>
      <c r="AA207" s="44" t="s">
        <v>2721</v>
      </c>
      <c r="AI207" s="44" t="s">
        <v>2722</v>
      </c>
      <c r="AK207" s="44" t="s">
        <v>1000</v>
      </c>
    </row>
    <row r="208" spans="1:37">
      <c r="B208" s="44" t="s">
        <v>564</v>
      </c>
      <c r="C208" s="44" t="s">
        <v>564</v>
      </c>
      <c r="D208" s="44" t="s">
        <v>2723</v>
      </c>
      <c r="E208" s="44" t="s">
        <v>2724</v>
      </c>
      <c r="F208" s="44" t="s">
        <v>1429</v>
      </c>
      <c r="G208" s="44" t="s">
        <v>1430</v>
      </c>
      <c r="I208" s="45">
        <v>44658.668396909721</v>
      </c>
      <c r="J208" s="44" t="s">
        <v>1785</v>
      </c>
      <c r="K208" s="44" t="s">
        <v>2725</v>
      </c>
      <c r="M208" s="44" t="s">
        <v>565</v>
      </c>
      <c r="N208" s="46">
        <f>VLOOKUP(M208,'Spend Export'!$B:$E,4,FALSE)</f>
        <v>36161.339999999997</v>
      </c>
      <c r="O208" s="44" t="s">
        <v>1429</v>
      </c>
      <c r="P208" s="44" t="s">
        <v>2726</v>
      </c>
      <c r="Q208" s="44" t="s">
        <v>1429</v>
      </c>
      <c r="R208" s="44" t="s">
        <v>20</v>
      </c>
      <c r="S208" s="44" t="s">
        <v>19</v>
      </c>
      <c r="T208" s="44" t="s">
        <v>1484</v>
      </c>
      <c r="U208" s="44" t="s">
        <v>1484</v>
      </c>
      <c r="V208" s="44" t="s">
        <v>2727</v>
      </c>
      <c r="W208" s="44" t="s">
        <v>2728</v>
      </c>
      <c r="X208" s="44" t="s">
        <v>1439</v>
      </c>
      <c r="Y208" s="44" t="s">
        <v>1429</v>
      </c>
      <c r="Z208" s="44" t="s">
        <v>1429</v>
      </c>
      <c r="AA208" s="44" t="s">
        <v>2729</v>
      </c>
      <c r="AG208" s="44" t="s">
        <v>1785</v>
      </c>
      <c r="AI208" s="44" t="s">
        <v>2730</v>
      </c>
      <c r="AK208" s="44" t="s">
        <v>565</v>
      </c>
    </row>
    <row r="209" spans="1:37">
      <c r="B209" s="44" t="s">
        <v>580</v>
      </c>
      <c r="C209" s="44" t="s">
        <v>580</v>
      </c>
      <c r="D209" s="44" t="s">
        <v>1428</v>
      </c>
      <c r="E209" s="44" t="s">
        <v>1207</v>
      </c>
      <c r="F209" s="44" t="s">
        <v>1429</v>
      </c>
      <c r="G209" s="44" t="s">
        <v>1430</v>
      </c>
      <c r="I209" s="45">
        <v>44802.603356516207</v>
      </c>
      <c r="J209" s="44" t="s">
        <v>2731</v>
      </c>
      <c r="K209" s="44" t="s">
        <v>2732</v>
      </c>
      <c r="M209" s="44" t="s">
        <v>581</v>
      </c>
      <c r="N209" s="46" t="e">
        <f>VLOOKUP(M209,'Spend Export'!$B:$E,4,FALSE)</f>
        <v>#N/A</v>
      </c>
      <c r="O209" s="44" t="s">
        <v>1429</v>
      </c>
      <c r="P209" s="44" t="s">
        <v>2733</v>
      </c>
      <c r="Q209" s="44" t="s">
        <v>1429</v>
      </c>
      <c r="R209" s="44" t="s">
        <v>20</v>
      </c>
      <c r="S209" s="44" t="s">
        <v>19</v>
      </c>
      <c r="T209" s="44" t="s">
        <v>1458</v>
      </c>
      <c r="U209" s="44" t="s">
        <v>1458</v>
      </c>
      <c r="V209" s="44" t="s">
        <v>2734</v>
      </c>
      <c r="W209" s="44" t="s">
        <v>2735</v>
      </c>
      <c r="X209" s="44" t="s">
        <v>1450</v>
      </c>
      <c r="Y209" s="44" t="s">
        <v>1386</v>
      </c>
      <c r="Z209" s="44" t="s">
        <v>1386</v>
      </c>
      <c r="AG209" s="44" t="s">
        <v>1687</v>
      </c>
      <c r="AI209" s="44" t="s">
        <v>2736</v>
      </c>
      <c r="AK209" s="44" t="s">
        <v>581</v>
      </c>
    </row>
    <row r="210" spans="1:37">
      <c r="B210" s="44" t="s">
        <v>139</v>
      </c>
      <c r="C210" s="44" t="s">
        <v>139</v>
      </c>
      <c r="D210" s="44" t="s">
        <v>2737</v>
      </c>
      <c r="E210" s="44" t="s">
        <v>1572</v>
      </c>
      <c r="F210" s="44" t="s">
        <v>2738</v>
      </c>
      <c r="G210" s="44" t="s">
        <v>1430</v>
      </c>
      <c r="I210" s="45">
        <v>43802.852452002313</v>
      </c>
      <c r="J210" s="44" t="s">
        <v>2739</v>
      </c>
      <c r="K210" s="44" t="s">
        <v>2740</v>
      </c>
      <c r="M210" s="44" t="s">
        <v>140</v>
      </c>
      <c r="N210" s="46">
        <f>VLOOKUP(M210,'Spend Export'!$B:$E,4,FALSE)</f>
        <v>35324.799999999996</v>
      </c>
      <c r="P210" s="44" t="s">
        <v>1429</v>
      </c>
      <c r="Q210" s="44" t="s">
        <v>1429</v>
      </c>
      <c r="R210" s="44" t="s">
        <v>20</v>
      </c>
      <c r="S210" s="44" t="s">
        <v>19</v>
      </c>
      <c r="T210" s="44" t="s">
        <v>2614</v>
      </c>
      <c r="U210" s="44" t="s">
        <v>1519</v>
      </c>
      <c r="V210" s="44" t="s">
        <v>2741</v>
      </c>
      <c r="W210" s="44" t="s">
        <v>2738</v>
      </c>
      <c r="X210" s="44" t="s">
        <v>1461</v>
      </c>
      <c r="Y210" s="44" t="s">
        <v>1386</v>
      </c>
      <c r="Z210" s="44" t="s">
        <v>1386</v>
      </c>
      <c r="AI210" s="44" t="s">
        <v>2742</v>
      </c>
      <c r="AK210" s="44" t="s">
        <v>140</v>
      </c>
    </row>
    <row r="211" spans="1:37">
      <c r="B211" s="44" t="s">
        <v>488</v>
      </c>
      <c r="C211" s="44" t="s">
        <v>488</v>
      </c>
      <c r="D211" s="44" t="s">
        <v>1428</v>
      </c>
      <c r="E211" s="44" t="s">
        <v>1207</v>
      </c>
      <c r="F211" s="44" t="s">
        <v>1429</v>
      </c>
      <c r="G211" s="44" t="s">
        <v>1430</v>
      </c>
      <c r="I211" s="45">
        <v>44841.638423923614</v>
      </c>
      <c r="J211" s="44" t="s">
        <v>2743</v>
      </c>
      <c r="K211" s="44" t="s">
        <v>2744</v>
      </c>
      <c r="M211" s="44" t="s">
        <v>489</v>
      </c>
      <c r="N211" s="46">
        <f>VLOOKUP(M211,'Spend Export'!$B:$E,4,FALSE)</f>
        <v>35118.67</v>
      </c>
      <c r="O211" s="44" t="s">
        <v>1429</v>
      </c>
      <c r="P211" s="44" t="s">
        <v>2745</v>
      </c>
      <c r="Q211" s="44" t="s">
        <v>1429</v>
      </c>
      <c r="R211" s="44" t="s">
        <v>20</v>
      </c>
      <c r="S211" s="44" t="s">
        <v>19</v>
      </c>
      <c r="T211" s="44" t="s">
        <v>1509</v>
      </c>
      <c r="U211" s="44" t="s">
        <v>1509</v>
      </c>
      <c r="V211" s="44" t="s">
        <v>2746</v>
      </c>
      <c r="W211" s="44" t="s">
        <v>2747</v>
      </c>
      <c r="X211" s="44" t="s">
        <v>1450</v>
      </c>
      <c r="Y211" s="44" t="s">
        <v>1429</v>
      </c>
      <c r="Z211" s="44" t="s">
        <v>1386</v>
      </c>
      <c r="AI211" s="44" t="s">
        <v>2748</v>
      </c>
      <c r="AK211" s="44" t="s">
        <v>489</v>
      </c>
    </row>
    <row r="212" spans="1:37">
      <c r="B212" s="44" t="s">
        <v>871</v>
      </c>
      <c r="C212" s="44" t="s">
        <v>871</v>
      </c>
      <c r="D212" s="44" t="s">
        <v>1428</v>
      </c>
      <c r="E212" s="44" t="s">
        <v>1207</v>
      </c>
      <c r="F212" s="44" t="s">
        <v>1429</v>
      </c>
      <c r="G212" s="44" t="s">
        <v>1430</v>
      </c>
      <c r="I212" s="45">
        <v>44585.399002743055</v>
      </c>
      <c r="J212" s="44" t="s">
        <v>2749</v>
      </c>
      <c r="K212" s="44" t="s">
        <v>2750</v>
      </c>
      <c r="M212" s="44" t="s">
        <v>872</v>
      </c>
      <c r="N212" s="46">
        <f>VLOOKUP(M212,'Spend Export'!$B:$E,4,FALSE)</f>
        <v>35000</v>
      </c>
      <c r="O212" s="44" t="s">
        <v>1429</v>
      </c>
      <c r="P212" s="44" t="s">
        <v>2751</v>
      </c>
      <c r="Q212" s="44" t="s">
        <v>1429</v>
      </c>
      <c r="R212" s="44" t="s">
        <v>20</v>
      </c>
      <c r="S212" s="44" t="s">
        <v>19</v>
      </c>
      <c r="T212" s="44" t="s">
        <v>1708</v>
      </c>
      <c r="U212" s="44" t="s">
        <v>1708</v>
      </c>
      <c r="V212" s="44" t="s">
        <v>2752</v>
      </c>
      <c r="W212" s="44" t="s">
        <v>2753</v>
      </c>
      <c r="X212" s="44" t="s">
        <v>1450</v>
      </c>
      <c r="Y212" s="44" t="s">
        <v>1386</v>
      </c>
      <c r="Z212" s="44" t="s">
        <v>1386</v>
      </c>
      <c r="AE212" s="44" t="s">
        <v>2754</v>
      </c>
      <c r="AI212" s="44" t="s">
        <v>2755</v>
      </c>
      <c r="AK212" s="44" t="s">
        <v>872</v>
      </c>
    </row>
    <row r="213" spans="1:37">
      <c r="B213" s="44" t="s">
        <v>879</v>
      </c>
      <c r="C213" s="44" t="s">
        <v>879</v>
      </c>
      <c r="D213" s="44" t="s">
        <v>1466</v>
      </c>
      <c r="E213" s="44" t="s">
        <v>1207</v>
      </c>
      <c r="F213" s="44" t="s">
        <v>2756</v>
      </c>
      <c r="G213" s="44" t="s">
        <v>1430</v>
      </c>
      <c r="I213" s="45">
        <v>43090.397753043981</v>
      </c>
      <c r="J213" s="44" t="s">
        <v>1492</v>
      </c>
      <c r="K213" s="44" t="s">
        <v>2757</v>
      </c>
      <c r="M213" s="44" t="s">
        <v>880</v>
      </c>
      <c r="N213" s="46" t="e">
        <f>VLOOKUP(M213,'Spend Export'!$B:$E,4,FALSE)</f>
        <v>#N/A</v>
      </c>
      <c r="P213" s="44" t="s">
        <v>2758</v>
      </c>
      <c r="Q213" s="44" t="s">
        <v>1429</v>
      </c>
      <c r="R213" s="44" t="s">
        <v>20</v>
      </c>
      <c r="S213" s="44" t="s">
        <v>19</v>
      </c>
      <c r="T213" s="44" t="s">
        <v>1458</v>
      </c>
      <c r="U213" s="44" t="s">
        <v>1458</v>
      </c>
      <c r="V213" s="44" t="s">
        <v>2759</v>
      </c>
      <c r="W213" s="44" t="s">
        <v>2760</v>
      </c>
      <c r="X213" s="44" t="s">
        <v>1461</v>
      </c>
      <c r="Y213" s="44" t="s">
        <v>1429</v>
      </c>
      <c r="Z213" s="44" t="s">
        <v>1386</v>
      </c>
      <c r="AB213" s="44" t="s">
        <v>2126</v>
      </c>
      <c r="AI213" s="44" t="s">
        <v>2761</v>
      </c>
      <c r="AK213" s="44" t="s">
        <v>880</v>
      </c>
    </row>
    <row r="214" spans="1:37">
      <c r="B214" s="44" t="s">
        <v>107</v>
      </c>
      <c r="C214" s="44" t="s">
        <v>107</v>
      </c>
      <c r="D214" s="44" t="s">
        <v>2021</v>
      </c>
      <c r="E214" s="44" t="s">
        <v>1207</v>
      </c>
      <c r="F214" s="44" t="s">
        <v>1429</v>
      </c>
      <c r="G214" s="44" t="s">
        <v>1430</v>
      </c>
      <c r="I214" s="45">
        <v>39744.655761111113</v>
      </c>
      <c r="K214" s="44" t="s">
        <v>2762</v>
      </c>
      <c r="L214" s="44" t="s">
        <v>2763</v>
      </c>
      <c r="M214" s="44" t="s">
        <v>108</v>
      </c>
      <c r="N214" s="46">
        <f>VLOOKUP(M214,'Spend Export'!$B:$E,4,FALSE)</f>
        <v>34168.43</v>
      </c>
      <c r="P214" s="44" t="s">
        <v>2764</v>
      </c>
      <c r="Q214" s="44" t="s">
        <v>1429</v>
      </c>
      <c r="R214" s="44" t="s">
        <v>19</v>
      </c>
      <c r="S214" s="44" t="s">
        <v>19</v>
      </c>
      <c r="T214" s="44" t="s">
        <v>1484</v>
      </c>
      <c r="U214" s="44" t="s">
        <v>1484</v>
      </c>
      <c r="V214" s="44" t="s">
        <v>2765</v>
      </c>
      <c r="W214" s="44" t="s">
        <v>2766</v>
      </c>
      <c r="X214" s="44" t="s">
        <v>1461</v>
      </c>
      <c r="Y214" s="44" t="s">
        <v>1429</v>
      </c>
      <c r="Z214" s="44" t="s">
        <v>1429</v>
      </c>
      <c r="AK214" s="44" t="s">
        <v>108</v>
      </c>
    </row>
    <row r="215" spans="1:37">
      <c r="B215" s="44" t="s">
        <v>426</v>
      </c>
      <c r="C215" s="44" t="s">
        <v>426</v>
      </c>
      <c r="D215" s="44" t="s">
        <v>2767</v>
      </c>
      <c r="E215" s="44" t="s">
        <v>2768</v>
      </c>
      <c r="F215" s="44" t="s">
        <v>2769</v>
      </c>
      <c r="G215" s="44" t="s">
        <v>1430</v>
      </c>
      <c r="I215" s="45">
        <v>43175.53329417824</v>
      </c>
      <c r="J215" s="44" t="s">
        <v>2770</v>
      </c>
      <c r="K215" s="44" t="s">
        <v>2771</v>
      </c>
      <c r="M215" s="44" t="s">
        <v>427</v>
      </c>
      <c r="N215" s="46">
        <f>VLOOKUP(M215,'Spend Export'!$B:$E,4,FALSE)</f>
        <v>34037.310000000005</v>
      </c>
      <c r="O215" s="44" t="s">
        <v>1429</v>
      </c>
      <c r="P215" s="44" t="s">
        <v>2772</v>
      </c>
      <c r="Q215" s="44" t="s">
        <v>1429</v>
      </c>
      <c r="R215" s="44" t="s">
        <v>19</v>
      </c>
      <c r="S215" s="44" t="s">
        <v>19</v>
      </c>
      <c r="T215" s="44" t="s">
        <v>1484</v>
      </c>
      <c r="U215" s="44" t="s">
        <v>1484</v>
      </c>
      <c r="V215" s="44" t="s">
        <v>2773</v>
      </c>
      <c r="W215" s="44" t="s">
        <v>2774</v>
      </c>
      <c r="X215" s="44" t="s">
        <v>2775</v>
      </c>
      <c r="Y215" s="44" t="s">
        <v>1386</v>
      </c>
      <c r="Z215" s="44" t="s">
        <v>1386</v>
      </c>
      <c r="AG215" s="44" t="s">
        <v>2776</v>
      </c>
      <c r="AI215" s="44" t="s">
        <v>2777</v>
      </c>
      <c r="AK215" s="44" t="s">
        <v>427</v>
      </c>
    </row>
    <row r="216" spans="1:37">
      <c r="B216" s="44" t="s">
        <v>280</v>
      </c>
      <c r="C216" s="44" t="s">
        <v>280</v>
      </c>
      <c r="D216" s="44" t="s">
        <v>1428</v>
      </c>
      <c r="E216" s="44" t="s">
        <v>1207</v>
      </c>
      <c r="F216" s="44" t="s">
        <v>2778</v>
      </c>
      <c r="G216" s="44" t="s">
        <v>1430</v>
      </c>
      <c r="I216" s="45">
        <v>37918.762528043982</v>
      </c>
      <c r="K216" s="44" t="s">
        <v>2779</v>
      </c>
      <c r="L216" s="44" t="s">
        <v>2780</v>
      </c>
      <c r="M216" s="44" t="s">
        <v>281</v>
      </c>
      <c r="N216" s="46">
        <f>VLOOKUP(M216,'Spend Export'!$B:$E,4,FALSE)</f>
        <v>32972</v>
      </c>
      <c r="O216" s="44" t="s">
        <v>1429</v>
      </c>
      <c r="P216" s="44" t="s">
        <v>2781</v>
      </c>
      <c r="Q216" s="44" t="s">
        <v>1429</v>
      </c>
      <c r="R216" s="44" t="s">
        <v>20</v>
      </c>
      <c r="S216" s="44" t="s">
        <v>19</v>
      </c>
      <c r="T216" s="44" t="s">
        <v>1519</v>
      </c>
      <c r="U216" s="44" t="s">
        <v>1519</v>
      </c>
      <c r="V216" s="44" t="s">
        <v>2782</v>
      </c>
      <c r="W216" s="44" t="s">
        <v>2783</v>
      </c>
      <c r="X216" s="44" t="s">
        <v>1439</v>
      </c>
      <c r="Y216" s="44" t="s">
        <v>1429</v>
      </c>
      <c r="Z216" s="44" t="s">
        <v>1429</v>
      </c>
      <c r="AK216" s="44" t="s">
        <v>281</v>
      </c>
    </row>
    <row r="217" spans="1:37">
      <c r="A217" s="44" t="s">
        <v>2784</v>
      </c>
      <c r="B217" s="44" t="s">
        <v>744</v>
      </c>
      <c r="C217" s="44" t="s">
        <v>744</v>
      </c>
      <c r="D217" s="44" t="s">
        <v>1466</v>
      </c>
      <c r="E217" s="44" t="s">
        <v>1207</v>
      </c>
      <c r="F217" s="44" t="s">
        <v>1429</v>
      </c>
      <c r="G217" s="44" t="s">
        <v>1430</v>
      </c>
      <c r="H217" s="44" t="s">
        <v>1431</v>
      </c>
      <c r="I217" s="45">
        <v>44428.358389085646</v>
      </c>
      <c r="J217" s="44" t="s">
        <v>2785</v>
      </c>
      <c r="K217" s="44" t="s">
        <v>2786</v>
      </c>
      <c r="M217" s="44" t="s">
        <v>745</v>
      </c>
      <c r="N217" s="46">
        <f>VLOOKUP(M217,'Spend Export'!$B:$E,4,FALSE)</f>
        <v>31952.94</v>
      </c>
      <c r="P217" s="44" t="s">
        <v>2787</v>
      </c>
      <c r="Q217" s="44" t="s">
        <v>1429</v>
      </c>
      <c r="R217" s="44" t="s">
        <v>20</v>
      </c>
      <c r="S217" s="44" t="s">
        <v>19</v>
      </c>
      <c r="T217" s="44" t="s">
        <v>1964</v>
      </c>
      <c r="U217" s="44" t="s">
        <v>1964</v>
      </c>
      <c r="V217" s="44" t="s">
        <v>2788</v>
      </c>
      <c r="W217" s="44" t="s">
        <v>2789</v>
      </c>
      <c r="X217" s="44" t="s">
        <v>1450</v>
      </c>
      <c r="Y217" s="44" t="s">
        <v>1429</v>
      </c>
      <c r="Z217" s="44" t="s">
        <v>1386</v>
      </c>
      <c r="AI217" s="44" t="s">
        <v>2790</v>
      </c>
      <c r="AK217" s="44" t="s">
        <v>745</v>
      </c>
    </row>
    <row r="218" spans="1:37">
      <c r="B218" s="44" t="s">
        <v>302</v>
      </c>
      <c r="C218" s="44" t="s">
        <v>302</v>
      </c>
      <c r="D218" s="44" t="s">
        <v>1428</v>
      </c>
      <c r="E218" s="44" t="s">
        <v>1207</v>
      </c>
      <c r="F218" s="44" t="s">
        <v>2791</v>
      </c>
      <c r="G218" s="44" t="s">
        <v>1430</v>
      </c>
      <c r="I218" s="45">
        <v>37918.633934872683</v>
      </c>
      <c r="K218" s="44" t="s">
        <v>2792</v>
      </c>
      <c r="M218" s="44" t="s">
        <v>303</v>
      </c>
      <c r="N218" s="46">
        <f>VLOOKUP(M218,'Spend Export'!$B:$E,4,FALSE)</f>
        <v>31866</v>
      </c>
      <c r="P218" s="44" t="s">
        <v>2793</v>
      </c>
      <c r="Q218" s="44" t="s">
        <v>1429</v>
      </c>
      <c r="R218" s="44" t="s">
        <v>20</v>
      </c>
      <c r="S218" s="44" t="s">
        <v>19</v>
      </c>
      <c r="T218" s="44" t="s">
        <v>1502</v>
      </c>
      <c r="U218" s="44" t="s">
        <v>1502</v>
      </c>
      <c r="X218" s="44" t="s">
        <v>1439</v>
      </c>
      <c r="Y218" s="44" t="s">
        <v>1429</v>
      </c>
      <c r="Z218" s="44" t="s">
        <v>1429</v>
      </c>
      <c r="AK218" s="44" t="s">
        <v>303</v>
      </c>
    </row>
    <row r="219" spans="1:37">
      <c r="B219" s="44" t="s">
        <v>534</v>
      </c>
      <c r="C219" s="44" t="s">
        <v>534</v>
      </c>
      <c r="D219" s="44" t="s">
        <v>1428</v>
      </c>
      <c r="E219" s="44" t="s">
        <v>1207</v>
      </c>
      <c r="F219" s="44" t="s">
        <v>2794</v>
      </c>
      <c r="G219" s="44" t="s">
        <v>1430</v>
      </c>
      <c r="I219" s="45">
        <v>40284.626746180555</v>
      </c>
      <c r="K219" s="44" t="s">
        <v>2795</v>
      </c>
      <c r="L219" s="44" t="s">
        <v>2796</v>
      </c>
      <c r="M219" s="44" t="s">
        <v>535</v>
      </c>
      <c r="N219" s="46">
        <f>VLOOKUP(M219,'Spend Export'!$B:$E,4,FALSE)</f>
        <v>31615.029999999995</v>
      </c>
      <c r="P219" s="44" t="s">
        <v>2797</v>
      </c>
      <c r="Q219" s="44" t="s">
        <v>1429</v>
      </c>
      <c r="R219" s="44" t="s">
        <v>20</v>
      </c>
      <c r="S219" s="44" t="s">
        <v>19</v>
      </c>
      <c r="T219" s="44" t="s">
        <v>1502</v>
      </c>
      <c r="U219" s="44" t="s">
        <v>1502</v>
      </c>
      <c r="V219" s="44" t="s">
        <v>2798</v>
      </c>
      <c r="W219" s="44" t="s">
        <v>2799</v>
      </c>
      <c r="X219" s="44" t="s">
        <v>1450</v>
      </c>
      <c r="Y219" s="44" t="s">
        <v>1429</v>
      </c>
      <c r="Z219" s="44" t="s">
        <v>1429</v>
      </c>
      <c r="AK219" s="44" t="s">
        <v>535</v>
      </c>
    </row>
    <row r="220" spans="1:37">
      <c r="B220" s="44" t="s">
        <v>664</v>
      </c>
      <c r="C220" s="44" t="s">
        <v>664</v>
      </c>
      <c r="D220" s="44" t="s">
        <v>2354</v>
      </c>
      <c r="E220" s="44" t="s">
        <v>1682</v>
      </c>
      <c r="F220" s="44" t="s">
        <v>1429</v>
      </c>
      <c r="G220" s="44" t="s">
        <v>1430</v>
      </c>
      <c r="I220" s="45">
        <v>44144.549864351851</v>
      </c>
      <c r="J220" s="44" t="s">
        <v>2800</v>
      </c>
      <c r="K220" s="44" t="s">
        <v>2801</v>
      </c>
      <c r="M220" s="44" t="s">
        <v>665</v>
      </c>
      <c r="N220" s="46">
        <f>VLOOKUP(M220,'Spend Export'!$B:$E,4,FALSE)</f>
        <v>30499.54</v>
      </c>
      <c r="O220" s="44" t="s">
        <v>1429</v>
      </c>
      <c r="P220" s="44" t="s">
        <v>2802</v>
      </c>
      <c r="Q220" s="44" t="s">
        <v>1429</v>
      </c>
      <c r="R220" s="44" t="s">
        <v>19</v>
      </c>
      <c r="S220" s="44" t="s">
        <v>19</v>
      </c>
      <c r="T220" s="44" t="s">
        <v>1964</v>
      </c>
      <c r="U220" s="44" t="s">
        <v>1964</v>
      </c>
      <c r="V220" s="44" t="s">
        <v>2803</v>
      </c>
      <c r="W220" s="44" t="s">
        <v>2804</v>
      </c>
      <c r="X220" s="44" t="s">
        <v>1461</v>
      </c>
      <c r="Y220" s="44" t="s">
        <v>1429</v>
      </c>
      <c r="Z220" s="44" t="s">
        <v>1386</v>
      </c>
      <c r="AE220" s="44" t="s">
        <v>2805</v>
      </c>
      <c r="AG220" s="44" t="s">
        <v>2806</v>
      </c>
      <c r="AI220" s="44" t="s">
        <v>2807</v>
      </c>
      <c r="AK220" s="44" t="s">
        <v>665</v>
      </c>
    </row>
    <row r="221" spans="1:37">
      <c r="B221" s="44" t="s">
        <v>532</v>
      </c>
      <c r="C221" s="44" t="s">
        <v>532</v>
      </c>
      <c r="D221" s="44" t="s">
        <v>1428</v>
      </c>
      <c r="E221" s="44" t="s">
        <v>1207</v>
      </c>
      <c r="F221" s="44" t="s">
        <v>1429</v>
      </c>
      <c r="G221" s="44" t="s">
        <v>1430</v>
      </c>
      <c r="I221" s="45">
        <v>45180.533511956019</v>
      </c>
      <c r="J221" s="44" t="s">
        <v>1687</v>
      </c>
      <c r="K221" s="44" t="s">
        <v>2808</v>
      </c>
      <c r="M221" s="44" t="s">
        <v>533</v>
      </c>
      <c r="N221" s="46" t="e">
        <f>VLOOKUP(M221,'Spend Export'!$B:$E,4,FALSE)</f>
        <v>#N/A</v>
      </c>
      <c r="O221" s="44" t="s">
        <v>1429</v>
      </c>
      <c r="P221" s="44" t="s">
        <v>2809</v>
      </c>
      <c r="Q221" s="44" t="s">
        <v>1429</v>
      </c>
      <c r="R221" s="44" t="s">
        <v>20</v>
      </c>
      <c r="S221" s="44" t="s">
        <v>19</v>
      </c>
      <c r="T221" s="44" t="s">
        <v>1458</v>
      </c>
      <c r="U221" s="44" t="s">
        <v>1458</v>
      </c>
      <c r="V221" s="44" t="s">
        <v>2810</v>
      </c>
      <c r="W221" s="44" t="s">
        <v>2811</v>
      </c>
      <c r="X221" s="44" t="s">
        <v>1450</v>
      </c>
      <c r="Y221" s="44" t="s">
        <v>1429</v>
      </c>
      <c r="Z221" s="44" t="s">
        <v>1386</v>
      </c>
      <c r="AA221" s="44" t="s">
        <v>1849</v>
      </c>
      <c r="AH221" s="44" t="s">
        <v>2812</v>
      </c>
      <c r="AI221" s="44" t="s">
        <v>1855</v>
      </c>
      <c r="AK221" s="44" t="s">
        <v>533</v>
      </c>
    </row>
    <row r="222" spans="1:37">
      <c r="B222" s="44" t="s">
        <v>865</v>
      </c>
      <c r="C222" s="44" t="s">
        <v>865</v>
      </c>
      <c r="D222" s="44" t="s">
        <v>2457</v>
      </c>
      <c r="E222" s="44" t="s">
        <v>2005</v>
      </c>
      <c r="F222" s="44" t="s">
        <v>1429</v>
      </c>
      <c r="G222" s="44" t="s">
        <v>1430</v>
      </c>
      <c r="I222" s="45">
        <v>44824.405455902779</v>
      </c>
      <c r="J222" s="44" t="s">
        <v>2813</v>
      </c>
      <c r="K222" s="44" t="s">
        <v>2814</v>
      </c>
      <c r="M222" s="44" t="s">
        <v>866</v>
      </c>
      <c r="N222" s="46">
        <f>VLOOKUP(M222,'Spend Export'!$B:$E,4,FALSE)</f>
        <v>30000</v>
      </c>
      <c r="O222" s="44" t="s">
        <v>1429</v>
      </c>
      <c r="P222" s="44" t="s">
        <v>2815</v>
      </c>
      <c r="Q222" s="44" t="s">
        <v>1429</v>
      </c>
      <c r="R222" s="44" t="s">
        <v>19</v>
      </c>
      <c r="S222" s="44" t="s">
        <v>19</v>
      </c>
      <c r="T222" s="44" t="s">
        <v>1708</v>
      </c>
      <c r="U222" s="44" t="s">
        <v>1708</v>
      </c>
      <c r="V222" s="44" t="s">
        <v>2816</v>
      </c>
      <c r="W222" s="44" t="s">
        <v>2817</v>
      </c>
      <c r="X222" s="44" t="s">
        <v>1450</v>
      </c>
      <c r="Y222" s="44" t="s">
        <v>1386</v>
      </c>
      <c r="Z222" s="44" t="s">
        <v>1386</v>
      </c>
      <c r="AI222" s="44" t="s">
        <v>2818</v>
      </c>
      <c r="AK222" s="44" t="s">
        <v>866</v>
      </c>
    </row>
    <row r="223" spans="1:37">
      <c r="B223" s="44" t="s">
        <v>310</v>
      </c>
      <c r="C223" s="44" t="s">
        <v>310</v>
      </c>
      <c r="D223" s="44" t="s">
        <v>2819</v>
      </c>
      <c r="E223" s="44" t="s">
        <v>2820</v>
      </c>
      <c r="F223" s="44" t="s">
        <v>1429</v>
      </c>
      <c r="G223" s="44" t="s">
        <v>1430</v>
      </c>
      <c r="I223" s="45">
        <v>44640.658384918985</v>
      </c>
      <c r="J223" s="44" t="s">
        <v>1756</v>
      </c>
      <c r="K223" s="44" t="s">
        <v>2821</v>
      </c>
      <c r="M223" s="44" t="s">
        <v>311</v>
      </c>
      <c r="N223" s="46" t="e">
        <f>VLOOKUP(M223,'Spend Export'!$B:$E,4,FALSE)</f>
        <v>#N/A</v>
      </c>
      <c r="O223" s="44" t="s">
        <v>1429</v>
      </c>
      <c r="P223" s="44" t="s">
        <v>2822</v>
      </c>
      <c r="Q223" s="44" t="s">
        <v>1429</v>
      </c>
      <c r="R223" s="44" t="s">
        <v>20</v>
      </c>
      <c r="S223" s="44" t="s">
        <v>19</v>
      </c>
      <c r="T223" s="44" t="s">
        <v>1458</v>
      </c>
      <c r="U223" s="44" t="s">
        <v>1458</v>
      </c>
      <c r="V223" s="44" t="s">
        <v>2823</v>
      </c>
      <c r="W223" s="44" t="s">
        <v>2824</v>
      </c>
      <c r="X223" s="44" t="s">
        <v>1439</v>
      </c>
      <c r="Y223" s="44" t="s">
        <v>1429</v>
      </c>
      <c r="Z223" s="44" t="s">
        <v>1429</v>
      </c>
      <c r="AA223" s="44" t="s">
        <v>1761</v>
      </c>
      <c r="AI223" s="44" t="s">
        <v>1763</v>
      </c>
      <c r="AK223" s="44" t="s">
        <v>311</v>
      </c>
    </row>
    <row r="224" spans="1:37">
      <c r="B224" s="44" t="s">
        <v>772</v>
      </c>
      <c r="C224" s="44" t="s">
        <v>772</v>
      </c>
      <c r="D224" s="44" t="s">
        <v>1428</v>
      </c>
      <c r="E224" s="44" t="s">
        <v>1207</v>
      </c>
      <c r="F224" s="44" t="s">
        <v>1429</v>
      </c>
      <c r="G224" s="44" t="s">
        <v>1430</v>
      </c>
      <c r="I224" s="45">
        <v>44314.323784872686</v>
      </c>
      <c r="J224" s="44" t="s">
        <v>2825</v>
      </c>
      <c r="K224" s="44" t="s">
        <v>2826</v>
      </c>
      <c r="M224" s="44" t="s">
        <v>773</v>
      </c>
      <c r="N224" s="46">
        <f>VLOOKUP(M224,'Spend Export'!$B:$E,4,FALSE)</f>
        <v>29443.5</v>
      </c>
      <c r="P224" s="44" t="s">
        <v>2827</v>
      </c>
      <c r="Q224" s="44" t="s">
        <v>1429</v>
      </c>
      <c r="R224" s="44" t="s">
        <v>20</v>
      </c>
      <c r="S224" s="44" t="s">
        <v>20</v>
      </c>
      <c r="T224" s="44" t="s">
        <v>1980</v>
      </c>
      <c r="U224" s="44" t="s">
        <v>1708</v>
      </c>
      <c r="V224" s="44" t="s">
        <v>2828</v>
      </c>
      <c r="W224" s="44" t="s">
        <v>2829</v>
      </c>
      <c r="X224" s="44" t="s">
        <v>1439</v>
      </c>
      <c r="Y224" s="44" t="s">
        <v>1429</v>
      </c>
      <c r="Z224" s="44" t="s">
        <v>1386</v>
      </c>
      <c r="AG224" s="44" t="s">
        <v>1487</v>
      </c>
      <c r="AI224" s="44" t="s">
        <v>2830</v>
      </c>
      <c r="AK224" s="44" t="s">
        <v>773</v>
      </c>
    </row>
    <row r="225" spans="2:37">
      <c r="B225" s="44" t="s">
        <v>166</v>
      </c>
      <c r="C225" s="44" t="s">
        <v>166</v>
      </c>
      <c r="D225" s="44" t="s">
        <v>2831</v>
      </c>
      <c r="E225" s="44" t="s">
        <v>1682</v>
      </c>
      <c r="F225" s="44" t="s">
        <v>2832</v>
      </c>
      <c r="G225" s="44" t="s">
        <v>1430</v>
      </c>
      <c r="I225" s="45">
        <v>39521.587942210645</v>
      </c>
      <c r="K225" s="44" t="s">
        <v>2833</v>
      </c>
      <c r="M225" s="44" t="s">
        <v>167</v>
      </c>
      <c r="N225" s="46">
        <f>VLOOKUP(M225,'Spend Export'!$B:$E,4,FALSE)</f>
        <v>28920.800000000003</v>
      </c>
      <c r="P225" s="44" t="s">
        <v>2834</v>
      </c>
      <c r="Q225" s="44" t="s">
        <v>1429</v>
      </c>
      <c r="R225" s="44" t="s">
        <v>20</v>
      </c>
      <c r="S225" s="44" t="s">
        <v>19</v>
      </c>
      <c r="T225" s="44" t="s">
        <v>2614</v>
      </c>
      <c r="U225" s="44" t="s">
        <v>1519</v>
      </c>
      <c r="X225" s="44" t="s">
        <v>1439</v>
      </c>
      <c r="Y225" s="44" t="s">
        <v>1429</v>
      </c>
      <c r="Z225" s="44" t="s">
        <v>1386</v>
      </c>
      <c r="AI225" s="44" t="s">
        <v>2835</v>
      </c>
      <c r="AK225" s="44" t="s">
        <v>2836</v>
      </c>
    </row>
    <row r="226" spans="2:37">
      <c r="B226" s="44" t="s">
        <v>398</v>
      </c>
      <c r="C226" s="44" t="s">
        <v>398</v>
      </c>
      <c r="D226" s="44" t="s">
        <v>1466</v>
      </c>
      <c r="E226" s="44" t="s">
        <v>1207</v>
      </c>
      <c r="F226" s="44" t="s">
        <v>1429</v>
      </c>
      <c r="G226" s="44" t="s">
        <v>1430</v>
      </c>
      <c r="I226" s="45">
        <v>42723.343617395833</v>
      </c>
      <c r="K226" s="44" t="s">
        <v>2837</v>
      </c>
      <c r="L226" s="44" t="s">
        <v>2838</v>
      </c>
      <c r="M226" s="44" t="s">
        <v>399</v>
      </c>
      <c r="N226" s="46">
        <f>VLOOKUP(M226,'Spend Export'!$B:$E,4,FALSE)</f>
        <v>28297.19</v>
      </c>
      <c r="P226" s="44" t="s">
        <v>2839</v>
      </c>
      <c r="Q226" s="44" t="s">
        <v>1386</v>
      </c>
      <c r="R226" s="44" t="s">
        <v>20</v>
      </c>
      <c r="S226" s="44" t="s">
        <v>19</v>
      </c>
      <c r="T226" s="44" t="s">
        <v>1502</v>
      </c>
      <c r="U226" s="44" t="s">
        <v>1502</v>
      </c>
      <c r="V226" s="44" t="s">
        <v>2840</v>
      </c>
      <c r="W226" s="44" t="s">
        <v>2841</v>
      </c>
      <c r="X226" s="44" t="s">
        <v>1450</v>
      </c>
      <c r="Y226" s="44" t="s">
        <v>1429</v>
      </c>
      <c r="Z226" s="44" t="s">
        <v>1386</v>
      </c>
      <c r="AK226" s="44" t="s">
        <v>399</v>
      </c>
    </row>
    <row r="227" spans="2:37">
      <c r="B227" s="44" t="s">
        <v>400</v>
      </c>
      <c r="C227" s="44" t="s">
        <v>400</v>
      </c>
      <c r="D227" s="44" t="s">
        <v>1428</v>
      </c>
      <c r="E227" s="44" t="s">
        <v>1207</v>
      </c>
      <c r="F227" s="44" t="s">
        <v>2842</v>
      </c>
      <c r="G227" s="44" t="s">
        <v>1430</v>
      </c>
      <c r="I227" s="45">
        <v>37918.564165277778</v>
      </c>
      <c r="K227" s="44" t="s">
        <v>2843</v>
      </c>
      <c r="M227" s="44" t="s">
        <v>401</v>
      </c>
      <c r="N227" s="46">
        <f>VLOOKUP(M227,'Spend Export'!$B:$E,4,FALSE)</f>
        <v>27682.2</v>
      </c>
      <c r="P227" s="44" t="s">
        <v>2844</v>
      </c>
      <c r="Q227" s="44" t="s">
        <v>1429</v>
      </c>
      <c r="R227" s="44" t="s">
        <v>20</v>
      </c>
      <c r="S227" s="44" t="s">
        <v>19</v>
      </c>
      <c r="T227" s="44" t="s">
        <v>1556</v>
      </c>
      <c r="U227" s="44" t="s">
        <v>1556</v>
      </c>
      <c r="V227" s="44" t="s">
        <v>2845</v>
      </c>
      <c r="W227" s="44" t="s">
        <v>2846</v>
      </c>
      <c r="X227" s="44" t="s">
        <v>1450</v>
      </c>
      <c r="Y227" s="44" t="s">
        <v>1386</v>
      </c>
      <c r="Z227" s="44" t="s">
        <v>1429</v>
      </c>
      <c r="AK227" s="44" t="s">
        <v>401</v>
      </c>
    </row>
    <row r="228" spans="2:37">
      <c r="B228" s="44" t="s">
        <v>855</v>
      </c>
      <c r="C228" s="44" t="s">
        <v>855</v>
      </c>
      <c r="D228" s="44" t="s">
        <v>1890</v>
      </c>
      <c r="E228" s="44" t="s">
        <v>1207</v>
      </c>
      <c r="F228" s="44" t="s">
        <v>2847</v>
      </c>
      <c r="G228" s="44" t="s">
        <v>1430</v>
      </c>
      <c r="I228" s="45">
        <v>37918.78783572917</v>
      </c>
      <c r="K228" s="44" t="s">
        <v>2848</v>
      </c>
      <c r="M228" s="44" t="s">
        <v>856</v>
      </c>
      <c r="N228" s="46">
        <f>VLOOKUP(M228,'Spend Export'!$B:$E,4,FALSE)</f>
        <v>27279.5</v>
      </c>
      <c r="P228" s="44" t="s">
        <v>2849</v>
      </c>
      <c r="Q228" s="44" t="s">
        <v>1429</v>
      </c>
      <c r="R228" s="44" t="s">
        <v>20</v>
      </c>
      <c r="S228" s="44" t="s">
        <v>19</v>
      </c>
      <c r="T228" s="44" t="s">
        <v>1502</v>
      </c>
      <c r="U228" s="44" t="s">
        <v>1502</v>
      </c>
      <c r="X228" s="44" t="s">
        <v>1439</v>
      </c>
      <c r="Y228" s="44" t="s">
        <v>1429</v>
      </c>
      <c r="Z228" s="44" t="s">
        <v>1429</v>
      </c>
      <c r="AG228" s="44" t="s">
        <v>2850</v>
      </c>
      <c r="AK228" s="44" t="s">
        <v>856</v>
      </c>
    </row>
    <row r="229" spans="2:37">
      <c r="B229" s="44" t="s">
        <v>236</v>
      </c>
      <c r="C229" s="44" t="s">
        <v>236</v>
      </c>
      <c r="D229" s="44" t="s">
        <v>1443</v>
      </c>
      <c r="E229" s="44" t="s">
        <v>1207</v>
      </c>
      <c r="F229" s="44" t="s">
        <v>1429</v>
      </c>
      <c r="G229" s="44" t="s">
        <v>1430</v>
      </c>
      <c r="I229" s="45">
        <v>43901.324311886572</v>
      </c>
      <c r="J229" s="44" t="s">
        <v>2851</v>
      </c>
      <c r="K229" s="44" t="s">
        <v>2852</v>
      </c>
      <c r="M229" s="44" t="s">
        <v>237</v>
      </c>
      <c r="N229" s="46">
        <f>VLOOKUP(M229,'Spend Export'!$B:$E,4,FALSE)</f>
        <v>26682.13</v>
      </c>
      <c r="P229" s="44" t="s">
        <v>2853</v>
      </c>
      <c r="Q229" s="44" t="s">
        <v>1429</v>
      </c>
      <c r="R229" s="44" t="s">
        <v>20</v>
      </c>
      <c r="S229" s="44" t="s">
        <v>19</v>
      </c>
      <c r="T229" s="44" t="s">
        <v>2854</v>
      </c>
      <c r="U229" s="44" t="s">
        <v>1502</v>
      </c>
      <c r="V229" s="44" t="s">
        <v>2855</v>
      </c>
      <c r="W229" s="44" t="s">
        <v>2856</v>
      </c>
      <c r="X229" s="44" t="s">
        <v>1450</v>
      </c>
      <c r="Y229" s="44" t="s">
        <v>1429</v>
      </c>
      <c r="Z229" s="44" t="s">
        <v>1429</v>
      </c>
      <c r="AA229" s="44" t="s">
        <v>1503</v>
      </c>
      <c r="AI229" s="44" t="s">
        <v>2857</v>
      </c>
      <c r="AK229" s="44" t="s">
        <v>237</v>
      </c>
    </row>
    <row r="230" spans="2:37">
      <c r="B230" s="44" t="s">
        <v>734</v>
      </c>
      <c r="C230" s="44" t="s">
        <v>734</v>
      </c>
      <c r="D230" s="44" t="s">
        <v>1443</v>
      </c>
      <c r="E230" s="44" t="s">
        <v>1207</v>
      </c>
      <c r="F230" s="44" t="s">
        <v>2858</v>
      </c>
      <c r="G230" s="44" t="s">
        <v>1430</v>
      </c>
      <c r="I230" s="45">
        <v>37918.892424421298</v>
      </c>
      <c r="K230" s="44" t="s">
        <v>2859</v>
      </c>
      <c r="L230" s="44" t="s">
        <v>2860</v>
      </c>
      <c r="M230" s="44" t="s">
        <v>735</v>
      </c>
      <c r="N230" s="46">
        <f>VLOOKUP(M230,'Spend Export'!$B:$E,4,FALSE)</f>
        <v>26623.759999999998</v>
      </c>
      <c r="P230" s="44" t="s">
        <v>2861</v>
      </c>
      <c r="Q230" s="44" t="s">
        <v>1429</v>
      </c>
      <c r="R230" s="44" t="s">
        <v>19</v>
      </c>
      <c r="S230" s="44" t="s">
        <v>19</v>
      </c>
      <c r="T230" s="44" t="s">
        <v>1484</v>
      </c>
      <c r="U230" s="44" t="s">
        <v>1484</v>
      </c>
      <c r="V230" s="44" t="s">
        <v>2862</v>
      </c>
      <c r="W230" s="44" t="s">
        <v>2863</v>
      </c>
      <c r="X230" s="44" t="s">
        <v>1439</v>
      </c>
      <c r="Y230" s="44" t="s">
        <v>1429</v>
      </c>
      <c r="Z230" s="44" t="s">
        <v>1429</v>
      </c>
      <c r="AG230" s="44" t="s">
        <v>2864</v>
      </c>
      <c r="AK230" s="44" t="s">
        <v>735</v>
      </c>
    </row>
    <row r="231" spans="2:37">
      <c r="B231" s="44" t="s">
        <v>1052</v>
      </c>
      <c r="C231" s="44" t="s">
        <v>1052</v>
      </c>
      <c r="D231" s="44" t="s">
        <v>2865</v>
      </c>
      <c r="E231" s="44" t="s">
        <v>1617</v>
      </c>
      <c r="F231" s="44" t="s">
        <v>1429</v>
      </c>
      <c r="G231" s="44" t="s">
        <v>1430</v>
      </c>
      <c r="I231" s="45">
        <v>39968.587010613424</v>
      </c>
      <c r="K231" s="44" t="s">
        <v>2866</v>
      </c>
      <c r="M231" s="44" t="s">
        <v>1053</v>
      </c>
      <c r="N231" s="46">
        <f>VLOOKUP(M231,'Spend Export'!$B:$E,4,FALSE)</f>
        <v>26249.78</v>
      </c>
      <c r="O231" s="44" t="s">
        <v>1429</v>
      </c>
      <c r="P231" s="44" t="s">
        <v>2867</v>
      </c>
      <c r="Q231" s="44" t="s">
        <v>1429</v>
      </c>
      <c r="R231" s="44" t="s">
        <v>20</v>
      </c>
      <c r="S231" s="44" t="s">
        <v>19</v>
      </c>
      <c r="T231" s="44" t="s">
        <v>1484</v>
      </c>
      <c r="U231" s="44" t="s">
        <v>1484</v>
      </c>
      <c r="V231" s="44" t="s">
        <v>2868</v>
      </c>
      <c r="W231" s="44" t="s">
        <v>2869</v>
      </c>
      <c r="X231" s="44" t="s">
        <v>1594</v>
      </c>
      <c r="Y231" s="44" t="s">
        <v>1429</v>
      </c>
      <c r="Z231" s="44" t="s">
        <v>1429</v>
      </c>
      <c r="AA231" s="44" t="s">
        <v>1488</v>
      </c>
      <c r="AK231" s="44" t="s">
        <v>1053</v>
      </c>
    </row>
    <row r="232" spans="2:37">
      <c r="B232" s="44" t="s">
        <v>51</v>
      </c>
      <c r="C232" s="44" t="s">
        <v>51</v>
      </c>
      <c r="D232" s="44" t="s">
        <v>1769</v>
      </c>
      <c r="E232" s="44" t="s">
        <v>1207</v>
      </c>
      <c r="F232" s="44" t="s">
        <v>1429</v>
      </c>
      <c r="G232" s="44" t="s">
        <v>1430</v>
      </c>
      <c r="I232" s="45">
        <v>40827.459037418979</v>
      </c>
      <c r="K232" s="44" t="s">
        <v>2870</v>
      </c>
      <c r="M232" s="44" t="s">
        <v>52</v>
      </c>
      <c r="N232" s="46">
        <f>VLOOKUP(M232,'Spend Export'!$B:$E,4,FALSE)</f>
        <v>26236.869999999995</v>
      </c>
      <c r="O232" s="44" t="s">
        <v>1429</v>
      </c>
      <c r="P232" s="44" t="s">
        <v>2871</v>
      </c>
      <c r="Q232" s="44" t="s">
        <v>1429</v>
      </c>
      <c r="R232" s="44" t="s">
        <v>20</v>
      </c>
      <c r="S232" s="44" t="s">
        <v>19</v>
      </c>
      <c r="T232" s="44" t="s">
        <v>1484</v>
      </c>
      <c r="U232" s="44" t="s">
        <v>1484</v>
      </c>
      <c r="V232" s="44" t="s">
        <v>2094</v>
      </c>
      <c r="W232" s="44" t="s">
        <v>2872</v>
      </c>
      <c r="X232" s="44" t="s">
        <v>2283</v>
      </c>
      <c r="Y232" s="44" t="s">
        <v>1429</v>
      </c>
      <c r="Z232" s="44" t="s">
        <v>1429</v>
      </c>
      <c r="AI232" s="44" t="s">
        <v>2873</v>
      </c>
      <c r="AK232" s="44" t="s">
        <v>52</v>
      </c>
    </row>
    <row r="233" spans="2:37">
      <c r="B233" s="44" t="s">
        <v>337</v>
      </c>
      <c r="C233" s="44" t="s">
        <v>337</v>
      </c>
      <c r="D233" s="44" t="s">
        <v>1443</v>
      </c>
      <c r="E233" s="44" t="s">
        <v>1207</v>
      </c>
      <c r="F233" s="44" t="s">
        <v>1429</v>
      </c>
      <c r="G233" s="44" t="s">
        <v>1430</v>
      </c>
      <c r="I233" s="45">
        <v>42797.652496446761</v>
      </c>
      <c r="K233" s="44" t="s">
        <v>2874</v>
      </c>
      <c r="M233" s="44" t="s">
        <v>338</v>
      </c>
      <c r="N233" s="46">
        <f>VLOOKUP(M233,'Spend Export'!$B:$E,4,FALSE)</f>
        <v>26087.119999999974</v>
      </c>
      <c r="P233" s="44" t="s">
        <v>2875</v>
      </c>
      <c r="Q233" s="44" t="s">
        <v>1429</v>
      </c>
      <c r="R233" s="44" t="s">
        <v>20</v>
      </c>
      <c r="S233" s="44" t="s">
        <v>19</v>
      </c>
      <c r="T233" s="44" t="s">
        <v>1484</v>
      </c>
      <c r="U233" s="44" t="s">
        <v>1484</v>
      </c>
      <c r="V233" s="44" t="s">
        <v>2876</v>
      </c>
      <c r="W233" s="44" t="s">
        <v>2877</v>
      </c>
      <c r="X233" s="44" t="s">
        <v>1439</v>
      </c>
      <c r="Y233" s="44" t="s">
        <v>1429</v>
      </c>
      <c r="Z233" s="44" t="s">
        <v>1429</v>
      </c>
      <c r="AK233" s="44" t="s">
        <v>338</v>
      </c>
    </row>
    <row r="234" spans="2:37">
      <c r="B234" s="44" t="s">
        <v>766</v>
      </c>
      <c r="C234" s="44" t="s">
        <v>766</v>
      </c>
      <c r="D234" s="44" t="s">
        <v>2878</v>
      </c>
      <c r="E234" s="44" t="s">
        <v>1207</v>
      </c>
      <c r="F234" s="44" t="s">
        <v>1429</v>
      </c>
      <c r="G234" s="44" t="s">
        <v>1430</v>
      </c>
      <c r="I234" s="45">
        <v>37918.577449965276</v>
      </c>
      <c r="K234" s="44" t="s">
        <v>2879</v>
      </c>
      <c r="M234" s="44" t="s">
        <v>767</v>
      </c>
      <c r="N234" s="46" t="e">
        <f>VLOOKUP(M234,'Spend Export'!$B:$E,4,FALSE)</f>
        <v>#N/A</v>
      </c>
      <c r="P234" s="44" t="s">
        <v>2880</v>
      </c>
      <c r="Q234" s="44" t="s">
        <v>1429</v>
      </c>
      <c r="R234" s="44" t="s">
        <v>20</v>
      </c>
      <c r="S234" s="44" t="s">
        <v>19</v>
      </c>
      <c r="T234" s="44" t="s">
        <v>1845</v>
      </c>
      <c r="U234" s="44" t="s">
        <v>1458</v>
      </c>
      <c r="X234" s="44" t="s">
        <v>1439</v>
      </c>
      <c r="Y234" s="44" t="s">
        <v>1429</v>
      </c>
      <c r="Z234" s="44" t="s">
        <v>1429</v>
      </c>
      <c r="AI234" s="44" t="s">
        <v>2881</v>
      </c>
      <c r="AK234" s="44" t="s">
        <v>767</v>
      </c>
    </row>
    <row r="235" spans="2:37">
      <c r="B235" s="44" t="s">
        <v>656</v>
      </c>
      <c r="C235" s="44" t="s">
        <v>656</v>
      </c>
      <c r="D235" s="44" t="s">
        <v>2882</v>
      </c>
      <c r="E235" s="44" t="s">
        <v>2883</v>
      </c>
      <c r="F235" s="44" t="s">
        <v>1429</v>
      </c>
      <c r="G235" s="44" t="s">
        <v>1430</v>
      </c>
      <c r="I235" s="45">
        <v>44953.393239849538</v>
      </c>
      <c r="J235" s="44" t="s">
        <v>1785</v>
      </c>
      <c r="K235" s="44" t="s">
        <v>2884</v>
      </c>
      <c r="M235" s="44" t="s">
        <v>657</v>
      </c>
      <c r="N235" s="46">
        <f>VLOOKUP(M235,'Spend Export'!$B:$E,4,FALSE)</f>
        <v>25856.940000000002</v>
      </c>
      <c r="O235" s="44" t="s">
        <v>1429</v>
      </c>
      <c r="P235" s="44" t="s">
        <v>2885</v>
      </c>
      <c r="Q235" s="44" t="s">
        <v>1429</v>
      </c>
      <c r="R235" s="44" t="s">
        <v>20</v>
      </c>
      <c r="S235" s="44" t="s">
        <v>19</v>
      </c>
      <c r="T235" s="44" t="s">
        <v>1484</v>
      </c>
      <c r="U235" s="44" t="s">
        <v>1484</v>
      </c>
      <c r="V235" s="44" t="s">
        <v>2886</v>
      </c>
      <c r="W235" s="44" t="s">
        <v>2887</v>
      </c>
      <c r="X235" s="44" t="s">
        <v>1461</v>
      </c>
      <c r="Y235" s="44" t="s">
        <v>1429</v>
      </c>
      <c r="Z235" s="44" t="s">
        <v>1429</v>
      </c>
      <c r="AA235" s="44" t="s">
        <v>2888</v>
      </c>
      <c r="AI235" s="44" t="s">
        <v>2889</v>
      </c>
      <c r="AK235" s="44" t="s">
        <v>657</v>
      </c>
    </row>
    <row r="236" spans="2:37">
      <c r="B236" s="44" t="s">
        <v>526</v>
      </c>
      <c r="C236" s="44" t="s">
        <v>526</v>
      </c>
      <c r="D236" s="44" t="s">
        <v>1428</v>
      </c>
      <c r="E236" s="44" t="s">
        <v>1207</v>
      </c>
      <c r="F236" s="44" t="s">
        <v>1429</v>
      </c>
      <c r="G236" s="44" t="s">
        <v>1430</v>
      </c>
      <c r="I236" s="45">
        <v>43896.453640046297</v>
      </c>
      <c r="J236" s="44" t="s">
        <v>2265</v>
      </c>
      <c r="K236" s="44" t="s">
        <v>2890</v>
      </c>
      <c r="M236" s="44" t="s">
        <v>527</v>
      </c>
      <c r="N236" s="46">
        <f>VLOOKUP(M236,'Spend Export'!$B:$E,4,FALSE)</f>
        <v>25214</v>
      </c>
      <c r="P236" s="44" t="s">
        <v>2891</v>
      </c>
      <c r="Q236" s="44" t="s">
        <v>1429</v>
      </c>
      <c r="R236" s="44" t="s">
        <v>20</v>
      </c>
      <c r="S236" s="44" t="s">
        <v>19</v>
      </c>
      <c r="T236" s="44" t="s">
        <v>1484</v>
      </c>
      <c r="U236" s="44" t="s">
        <v>1484</v>
      </c>
      <c r="V236" s="44" t="s">
        <v>2892</v>
      </c>
      <c r="W236" s="44" t="s">
        <v>2893</v>
      </c>
      <c r="X236" s="44" t="s">
        <v>1461</v>
      </c>
      <c r="Y236" s="44" t="s">
        <v>1386</v>
      </c>
      <c r="Z236" s="44" t="s">
        <v>1429</v>
      </c>
      <c r="AI236" s="44" t="s">
        <v>2894</v>
      </c>
      <c r="AK236" s="44" t="s">
        <v>527</v>
      </c>
    </row>
    <row r="237" spans="2:37">
      <c r="B237" s="44" t="s">
        <v>141</v>
      </c>
      <c r="C237" s="44" t="s">
        <v>141</v>
      </c>
      <c r="D237" s="44" t="s">
        <v>1466</v>
      </c>
      <c r="E237" s="44" t="s">
        <v>1207</v>
      </c>
      <c r="F237" s="44" t="s">
        <v>2895</v>
      </c>
      <c r="G237" s="44" t="s">
        <v>1430</v>
      </c>
      <c r="I237" s="45">
        <v>37918.865203622685</v>
      </c>
      <c r="K237" s="44" t="s">
        <v>2896</v>
      </c>
      <c r="M237" s="44" t="s">
        <v>142</v>
      </c>
      <c r="N237" s="46">
        <f>VLOOKUP(M237,'Spend Export'!$B:$E,4,FALSE)</f>
        <v>24830.140000000003</v>
      </c>
      <c r="P237" s="44" t="s">
        <v>2897</v>
      </c>
      <c r="Q237" s="44" t="s">
        <v>1429</v>
      </c>
      <c r="R237" s="44" t="s">
        <v>19</v>
      </c>
      <c r="S237" s="44" t="s">
        <v>19</v>
      </c>
      <c r="T237" s="44" t="s">
        <v>1502</v>
      </c>
      <c r="U237" s="44" t="s">
        <v>1502</v>
      </c>
      <c r="V237" s="44" t="s">
        <v>2898</v>
      </c>
      <c r="W237" s="44" t="s">
        <v>2899</v>
      </c>
      <c r="X237" s="44" t="s">
        <v>1439</v>
      </c>
      <c r="Y237" s="44" t="s">
        <v>1429</v>
      </c>
      <c r="Z237" s="44" t="s">
        <v>1429</v>
      </c>
      <c r="AG237" s="44" t="s">
        <v>2900</v>
      </c>
      <c r="AK237" s="44" t="s">
        <v>142</v>
      </c>
    </row>
    <row r="238" spans="2:37">
      <c r="B238" s="44" t="s">
        <v>1035</v>
      </c>
      <c r="C238" s="44" t="s">
        <v>1035</v>
      </c>
      <c r="D238" s="44" t="s">
        <v>1466</v>
      </c>
      <c r="E238" s="44" t="s">
        <v>1207</v>
      </c>
      <c r="F238" s="44" t="s">
        <v>1429</v>
      </c>
      <c r="G238" s="44" t="s">
        <v>1430</v>
      </c>
      <c r="I238" s="45">
        <v>45205.418529317132</v>
      </c>
      <c r="J238" s="44" t="s">
        <v>2901</v>
      </c>
      <c r="K238" s="44" t="s">
        <v>2902</v>
      </c>
      <c r="M238" s="44" t="s">
        <v>1036</v>
      </c>
      <c r="N238" s="46">
        <f>VLOOKUP(M238,'Spend Export'!$B:$E,4,FALSE)</f>
        <v>24764.080000000002</v>
      </c>
      <c r="O238" s="44" t="s">
        <v>1429</v>
      </c>
      <c r="P238" s="44" t="s">
        <v>2903</v>
      </c>
      <c r="Q238" s="44" t="s">
        <v>1429</v>
      </c>
      <c r="R238" s="44" t="s">
        <v>20</v>
      </c>
      <c r="S238" s="44" t="s">
        <v>19</v>
      </c>
      <c r="T238" s="44" t="s">
        <v>1484</v>
      </c>
      <c r="U238" s="44" t="s">
        <v>1484</v>
      </c>
      <c r="V238" s="44" t="s">
        <v>2904</v>
      </c>
      <c r="W238" s="44" t="s">
        <v>2905</v>
      </c>
      <c r="X238" s="44" t="s">
        <v>1450</v>
      </c>
      <c r="Y238" s="44" t="s">
        <v>1429</v>
      </c>
      <c r="Z238" s="44" t="s">
        <v>1429</v>
      </c>
      <c r="AI238" s="44" t="s">
        <v>2906</v>
      </c>
      <c r="AK238" s="44" t="s">
        <v>1036</v>
      </c>
    </row>
    <row r="239" spans="2:37">
      <c r="B239" s="44" t="s">
        <v>980</v>
      </c>
      <c r="C239" s="44" t="s">
        <v>980</v>
      </c>
      <c r="D239" s="44" t="s">
        <v>2907</v>
      </c>
      <c r="E239" s="44" t="s">
        <v>1682</v>
      </c>
      <c r="F239" s="44" t="s">
        <v>1429</v>
      </c>
      <c r="G239" s="44" t="s">
        <v>1430</v>
      </c>
      <c r="I239" s="45">
        <v>39581.631877199077</v>
      </c>
      <c r="K239" s="44" t="s">
        <v>2908</v>
      </c>
      <c r="M239" s="44" t="s">
        <v>981</v>
      </c>
      <c r="N239" s="46">
        <f>VLOOKUP(M239,'Spend Export'!$B:$E,4,FALSE)</f>
        <v>24437.5</v>
      </c>
      <c r="P239" s="44" t="s">
        <v>2909</v>
      </c>
      <c r="Q239" s="44" t="s">
        <v>1429</v>
      </c>
      <c r="R239" s="44" t="s">
        <v>20</v>
      </c>
      <c r="S239" s="44" t="s">
        <v>19</v>
      </c>
      <c r="T239" s="44" t="s">
        <v>1556</v>
      </c>
      <c r="U239" s="44" t="s">
        <v>1556</v>
      </c>
      <c r="V239" s="44" t="s">
        <v>2910</v>
      </c>
      <c r="W239" s="44" t="s">
        <v>2911</v>
      </c>
      <c r="X239" s="44" t="s">
        <v>1439</v>
      </c>
      <c r="Y239" s="44" t="s">
        <v>1429</v>
      </c>
      <c r="Z239" s="44" t="s">
        <v>1429</v>
      </c>
      <c r="AK239" s="44" t="s">
        <v>981</v>
      </c>
    </row>
    <row r="240" spans="2:37">
      <c r="B240" s="44" t="s">
        <v>448</v>
      </c>
      <c r="C240" s="44" t="s">
        <v>448</v>
      </c>
      <c r="D240" s="44" t="s">
        <v>2912</v>
      </c>
      <c r="E240" s="44" t="s">
        <v>1207</v>
      </c>
      <c r="F240" s="44" t="s">
        <v>2913</v>
      </c>
      <c r="G240" s="44" t="s">
        <v>1430</v>
      </c>
      <c r="I240" s="45">
        <v>42269.56632820602</v>
      </c>
      <c r="J240" s="44" t="s">
        <v>1492</v>
      </c>
      <c r="K240" s="44" t="s">
        <v>2914</v>
      </c>
      <c r="M240" s="44" t="s">
        <v>449</v>
      </c>
      <c r="N240" s="46" t="e">
        <f>VLOOKUP(M240,'Spend Export'!$B:$E,4,FALSE)</f>
        <v>#N/A</v>
      </c>
      <c r="P240" s="44" t="s">
        <v>2915</v>
      </c>
      <c r="Q240" s="44" t="s">
        <v>1429</v>
      </c>
      <c r="R240" s="44" t="s">
        <v>20</v>
      </c>
      <c r="S240" s="44" t="s">
        <v>19</v>
      </c>
      <c r="T240" s="44" t="s">
        <v>1458</v>
      </c>
      <c r="U240" s="44" t="s">
        <v>1458</v>
      </c>
      <c r="V240" s="44" t="s">
        <v>2916</v>
      </c>
      <c r="W240" s="44" t="s">
        <v>2913</v>
      </c>
      <c r="X240" s="44" t="s">
        <v>1450</v>
      </c>
      <c r="Y240" s="44" t="s">
        <v>1386</v>
      </c>
      <c r="Z240" s="44" t="s">
        <v>1386</v>
      </c>
      <c r="AI240" s="44" t="s">
        <v>2917</v>
      </c>
      <c r="AK240" s="44" t="s">
        <v>449</v>
      </c>
    </row>
    <row r="241" spans="1:37">
      <c r="B241" s="44" t="s">
        <v>536</v>
      </c>
      <c r="C241" s="44" t="s">
        <v>536</v>
      </c>
      <c r="D241" s="44" t="s">
        <v>1443</v>
      </c>
      <c r="E241" s="44" t="s">
        <v>1207</v>
      </c>
      <c r="F241" s="44" t="s">
        <v>1429</v>
      </c>
      <c r="G241" s="44" t="s">
        <v>1430</v>
      </c>
      <c r="I241" s="45">
        <v>41929.541811226853</v>
      </c>
      <c r="K241" s="44" t="s">
        <v>2918</v>
      </c>
      <c r="M241" s="44" t="s">
        <v>537</v>
      </c>
      <c r="N241" s="46">
        <f>VLOOKUP(M241,'Spend Export'!$B:$E,4,FALSE)</f>
        <v>23759.88</v>
      </c>
      <c r="P241" s="44" t="s">
        <v>2919</v>
      </c>
      <c r="Q241" s="44" t="s">
        <v>1429</v>
      </c>
      <c r="R241" s="44" t="s">
        <v>20</v>
      </c>
      <c r="S241" s="44" t="s">
        <v>19</v>
      </c>
      <c r="T241" s="44" t="s">
        <v>1484</v>
      </c>
      <c r="U241" s="44" t="s">
        <v>1484</v>
      </c>
      <c r="X241" s="44" t="s">
        <v>1450</v>
      </c>
      <c r="Y241" s="44" t="s">
        <v>1429</v>
      </c>
      <c r="Z241" s="44" t="s">
        <v>1429</v>
      </c>
      <c r="AK241" s="44" t="s">
        <v>537</v>
      </c>
    </row>
    <row r="242" spans="1:37">
      <c r="B242" s="44" t="s">
        <v>828</v>
      </c>
      <c r="C242" s="44" t="s">
        <v>828</v>
      </c>
      <c r="D242" s="44" t="s">
        <v>2920</v>
      </c>
      <c r="E242" s="44" t="s">
        <v>2921</v>
      </c>
      <c r="F242" s="44" t="s">
        <v>2922</v>
      </c>
      <c r="G242" s="44" t="s">
        <v>1430</v>
      </c>
      <c r="I242" s="45">
        <v>43166.630750891207</v>
      </c>
      <c r="J242" s="44" t="s">
        <v>2923</v>
      </c>
      <c r="K242" s="44" t="s">
        <v>2924</v>
      </c>
      <c r="L242" s="44" t="s">
        <v>2925</v>
      </c>
      <c r="M242" s="44" t="s">
        <v>829</v>
      </c>
      <c r="N242" s="46">
        <f>VLOOKUP(M242,'Spend Export'!$B:$E,4,FALSE)</f>
        <v>23576.07</v>
      </c>
      <c r="O242" s="44" t="s">
        <v>1429</v>
      </c>
      <c r="P242" s="44" t="s">
        <v>1429</v>
      </c>
      <c r="Q242" s="44" t="s">
        <v>1429</v>
      </c>
      <c r="R242" s="44" t="s">
        <v>20</v>
      </c>
      <c r="S242" s="44" t="s">
        <v>19</v>
      </c>
      <c r="T242" s="44" t="s">
        <v>1484</v>
      </c>
      <c r="U242" s="44" t="s">
        <v>1484</v>
      </c>
      <c r="V242" s="44" t="s">
        <v>2926</v>
      </c>
      <c r="W242" s="44" t="s">
        <v>2922</v>
      </c>
      <c r="X242" s="44" t="s">
        <v>2775</v>
      </c>
      <c r="Y242" s="44" t="s">
        <v>1429</v>
      </c>
      <c r="Z242" s="44" t="s">
        <v>1429</v>
      </c>
      <c r="AI242" s="44" t="s">
        <v>2927</v>
      </c>
      <c r="AK242" s="44" t="s">
        <v>829</v>
      </c>
    </row>
    <row r="243" spans="1:37">
      <c r="B243" s="44" t="s">
        <v>1094</v>
      </c>
      <c r="C243" s="44" t="s">
        <v>1094</v>
      </c>
      <c r="D243" s="44" t="s">
        <v>1466</v>
      </c>
      <c r="E243" s="44" t="s">
        <v>1207</v>
      </c>
      <c r="F243" s="44" t="s">
        <v>1429</v>
      </c>
      <c r="G243" s="44" t="s">
        <v>1430</v>
      </c>
      <c r="I243" s="45">
        <v>44839.624665474534</v>
      </c>
      <c r="J243" s="44" t="s">
        <v>1687</v>
      </c>
      <c r="K243" s="44" t="s">
        <v>2928</v>
      </c>
      <c r="M243" s="44" t="s">
        <v>1095</v>
      </c>
      <c r="N243" s="46" t="e">
        <f>VLOOKUP(M243,'Spend Export'!$B:$E,4,FALSE)</f>
        <v>#N/A</v>
      </c>
      <c r="O243" s="44" t="s">
        <v>1429</v>
      </c>
      <c r="P243" s="44" t="s">
        <v>2929</v>
      </c>
      <c r="Q243" s="44" t="s">
        <v>1429</v>
      </c>
      <c r="R243" s="44" t="s">
        <v>20</v>
      </c>
      <c r="S243" s="44" t="s">
        <v>19</v>
      </c>
      <c r="T243" s="44" t="s">
        <v>1458</v>
      </c>
      <c r="U243" s="44" t="s">
        <v>1458</v>
      </c>
      <c r="V243" s="44" t="s">
        <v>2930</v>
      </c>
      <c r="W243" s="44" t="s">
        <v>2931</v>
      </c>
      <c r="X243" s="44" t="s">
        <v>1450</v>
      </c>
      <c r="Y243" s="44" t="s">
        <v>1386</v>
      </c>
      <c r="Z243" s="44" t="s">
        <v>1386</v>
      </c>
      <c r="AA243" s="44" t="s">
        <v>2932</v>
      </c>
      <c r="AI243" s="44" t="s">
        <v>2933</v>
      </c>
      <c r="AK243" s="44" t="s">
        <v>1095</v>
      </c>
    </row>
    <row r="244" spans="1:37">
      <c r="B244" s="44" t="s">
        <v>1003</v>
      </c>
      <c r="C244" s="44" t="s">
        <v>1003</v>
      </c>
      <c r="D244" s="44" t="s">
        <v>1769</v>
      </c>
      <c r="E244" s="44" t="s">
        <v>1207</v>
      </c>
      <c r="F244" s="44" t="s">
        <v>1429</v>
      </c>
      <c r="G244" s="44" t="s">
        <v>1430</v>
      </c>
      <c r="I244" s="45">
        <v>44995.64458133102</v>
      </c>
      <c r="J244" s="44" t="s">
        <v>2934</v>
      </c>
      <c r="K244" s="44" t="s">
        <v>2935</v>
      </c>
      <c r="M244" s="44" t="s">
        <v>1004</v>
      </c>
      <c r="N244" s="46">
        <f>VLOOKUP(M244,'Spend Export'!$B:$E,4,FALSE)</f>
        <v>22750</v>
      </c>
      <c r="O244" s="44" t="s">
        <v>1429</v>
      </c>
      <c r="P244" s="44" t="s">
        <v>2936</v>
      </c>
      <c r="Q244" s="44" t="s">
        <v>1429</v>
      </c>
      <c r="R244" s="44" t="s">
        <v>20</v>
      </c>
      <c r="S244" s="44" t="s">
        <v>19</v>
      </c>
      <c r="T244" s="44" t="s">
        <v>1708</v>
      </c>
      <c r="U244" s="44" t="s">
        <v>1708</v>
      </c>
      <c r="V244" s="44" t="s">
        <v>2937</v>
      </c>
      <c r="W244" s="44" t="s">
        <v>2938</v>
      </c>
      <c r="X244" s="44" t="s">
        <v>1450</v>
      </c>
      <c r="Y244" s="44" t="s">
        <v>1429</v>
      </c>
      <c r="Z244" s="44" t="s">
        <v>1386</v>
      </c>
      <c r="AI244" s="44" t="s">
        <v>2939</v>
      </c>
      <c r="AK244" s="44" t="s">
        <v>1004</v>
      </c>
    </row>
    <row r="245" spans="1:37">
      <c r="B245" s="44" t="s">
        <v>674</v>
      </c>
      <c r="C245" s="44" t="s">
        <v>674</v>
      </c>
      <c r="D245" s="44" t="s">
        <v>2940</v>
      </c>
      <c r="E245" s="44" t="s">
        <v>2941</v>
      </c>
      <c r="F245" s="44" t="s">
        <v>1429</v>
      </c>
      <c r="G245" s="44" t="s">
        <v>1430</v>
      </c>
      <c r="I245" s="45">
        <v>40857.524522256943</v>
      </c>
      <c r="K245" s="44" t="s">
        <v>2942</v>
      </c>
      <c r="M245" s="44" t="s">
        <v>675</v>
      </c>
      <c r="N245" s="46">
        <f>VLOOKUP(M245,'Spend Export'!$B:$E,4,FALSE)</f>
        <v>22541.73</v>
      </c>
      <c r="O245" s="44" t="s">
        <v>1429</v>
      </c>
      <c r="P245" s="44" t="s">
        <v>1429</v>
      </c>
      <c r="Q245" s="44" t="s">
        <v>1429</v>
      </c>
      <c r="R245" s="44" t="s">
        <v>19</v>
      </c>
      <c r="S245" s="44" t="s">
        <v>19</v>
      </c>
      <c r="T245" s="44" t="s">
        <v>1484</v>
      </c>
      <c r="U245" s="44" t="s">
        <v>1484</v>
      </c>
      <c r="V245" s="44" t="s">
        <v>2943</v>
      </c>
      <c r="W245" s="44" t="s">
        <v>2944</v>
      </c>
      <c r="X245" s="44" t="s">
        <v>1594</v>
      </c>
      <c r="Y245" s="44" t="s">
        <v>1386</v>
      </c>
      <c r="Z245" s="44" t="s">
        <v>1386</v>
      </c>
      <c r="AE245" s="44" t="s">
        <v>2945</v>
      </c>
      <c r="AI245" s="44" t="s">
        <v>2946</v>
      </c>
      <c r="AK245" s="44" t="s">
        <v>675</v>
      </c>
    </row>
    <row r="246" spans="1:37">
      <c r="A246" s="44" t="s">
        <v>2716</v>
      </c>
      <c r="B246" s="44" t="s">
        <v>623</v>
      </c>
      <c r="C246" s="44" t="s">
        <v>623</v>
      </c>
      <c r="D246" s="44" t="s">
        <v>2947</v>
      </c>
      <c r="E246" s="44" t="s">
        <v>2102</v>
      </c>
      <c r="F246" s="44" t="s">
        <v>1429</v>
      </c>
      <c r="G246" s="44" t="s">
        <v>1430</v>
      </c>
      <c r="H246" s="44" t="s">
        <v>1431</v>
      </c>
      <c r="I246" s="45">
        <v>44130.600146874996</v>
      </c>
      <c r="J246" s="44" t="s">
        <v>1785</v>
      </c>
      <c r="K246" s="44" t="s">
        <v>2948</v>
      </c>
      <c r="M246" s="44" t="s">
        <v>624</v>
      </c>
      <c r="N246" s="46">
        <f>VLOOKUP(M246,'Spend Export'!$B:$E,4,FALSE)</f>
        <v>22363.279999999999</v>
      </c>
      <c r="P246" s="44" t="s">
        <v>2949</v>
      </c>
      <c r="Q246" s="44" t="s">
        <v>1429</v>
      </c>
      <c r="R246" s="44" t="s">
        <v>20</v>
      </c>
      <c r="S246" s="44" t="s">
        <v>19</v>
      </c>
      <c r="T246" s="44" t="s">
        <v>1556</v>
      </c>
      <c r="U246" s="44" t="s">
        <v>1556</v>
      </c>
      <c r="V246" s="44" t="s">
        <v>2950</v>
      </c>
      <c r="W246" s="44" t="s">
        <v>2951</v>
      </c>
      <c r="X246" s="44" t="s">
        <v>1439</v>
      </c>
      <c r="Y246" s="44" t="s">
        <v>1429</v>
      </c>
      <c r="Z246" s="44" t="s">
        <v>1429</v>
      </c>
      <c r="AA246" s="44" t="s">
        <v>2319</v>
      </c>
      <c r="AG246" s="44" t="s">
        <v>1785</v>
      </c>
      <c r="AI246" s="44" t="s">
        <v>2952</v>
      </c>
      <c r="AK246" s="44" t="s">
        <v>624</v>
      </c>
    </row>
    <row r="247" spans="1:37">
      <c r="A247" s="44" t="s">
        <v>2953</v>
      </c>
      <c r="B247" s="44" t="s">
        <v>740</v>
      </c>
      <c r="C247" s="44" t="s">
        <v>740</v>
      </c>
      <c r="D247" s="44" t="s">
        <v>2086</v>
      </c>
      <c r="E247" s="44" t="s">
        <v>1682</v>
      </c>
      <c r="F247" s="44" t="s">
        <v>2954</v>
      </c>
      <c r="G247" s="44" t="s">
        <v>1430</v>
      </c>
      <c r="H247" s="44" t="s">
        <v>1431</v>
      </c>
      <c r="I247" s="45">
        <v>38188.542113159725</v>
      </c>
      <c r="K247" s="44" t="s">
        <v>2955</v>
      </c>
      <c r="M247" s="44" t="s">
        <v>741</v>
      </c>
      <c r="N247" s="46">
        <f>VLOOKUP(M247,'Spend Export'!$B:$E,4,FALSE)</f>
        <v>22347</v>
      </c>
      <c r="P247" s="44" t="s">
        <v>2956</v>
      </c>
      <c r="Q247" s="44" t="s">
        <v>1429</v>
      </c>
      <c r="R247" s="44" t="s">
        <v>19</v>
      </c>
      <c r="S247" s="44" t="s">
        <v>19</v>
      </c>
      <c r="T247" s="44" t="s">
        <v>1964</v>
      </c>
      <c r="U247" s="44" t="s">
        <v>1964</v>
      </c>
      <c r="V247" s="44" t="s">
        <v>2957</v>
      </c>
      <c r="W247" s="44" t="s">
        <v>2958</v>
      </c>
      <c r="X247" s="44" t="s">
        <v>1439</v>
      </c>
      <c r="Y247" s="44" t="s">
        <v>1429</v>
      </c>
      <c r="Z247" s="44" t="s">
        <v>1429</v>
      </c>
      <c r="AG247" s="44" t="s">
        <v>2959</v>
      </c>
      <c r="AI247" s="44" t="s">
        <v>2960</v>
      </c>
      <c r="AK247" s="44" t="s">
        <v>741</v>
      </c>
    </row>
    <row r="248" spans="1:37">
      <c r="B248" s="44" t="s">
        <v>607</v>
      </c>
      <c r="C248" s="44" t="s">
        <v>607</v>
      </c>
      <c r="D248" s="44" t="s">
        <v>1522</v>
      </c>
      <c r="E248" s="44" t="s">
        <v>1207</v>
      </c>
      <c r="F248" s="44" t="s">
        <v>2961</v>
      </c>
      <c r="G248" s="44" t="s">
        <v>1430</v>
      </c>
      <c r="I248" s="45">
        <v>43997.632105868055</v>
      </c>
      <c r="J248" s="44" t="s">
        <v>2962</v>
      </c>
      <c r="K248" s="44" t="s">
        <v>2963</v>
      </c>
      <c r="M248" s="44" t="s">
        <v>608</v>
      </c>
      <c r="N248" s="46">
        <f>VLOOKUP(M248,'Spend Export'!$B:$E,4,FALSE)</f>
        <v>22243.72</v>
      </c>
      <c r="O248" s="44" t="s">
        <v>1429</v>
      </c>
      <c r="P248" s="44" t="s">
        <v>2964</v>
      </c>
      <c r="Q248" s="44" t="s">
        <v>1429</v>
      </c>
      <c r="R248" s="44" t="s">
        <v>20</v>
      </c>
      <c r="S248" s="44" t="s">
        <v>19</v>
      </c>
      <c r="T248" s="44" t="s">
        <v>1502</v>
      </c>
      <c r="U248" s="44" t="s">
        <v>1502</v>
      </c>
      <c r="V248" s="44" t="s">
        <v>2965</v>
      </c>
      <c r="W248" s="44" t="s">
        <v>2961</v>
      </c>
      <c r="X248" s="44" t="s">
        <v>1450</v>
      </c>
      <c r="Y248" s="44" t="s">
        <v>1386</v>
      </c>
      <c r="Z248" s="44" t="s">
        <v>1429</v>
      </c>
      <c r="AG248" s="44" t="s">
        <v>2966</v>
      </c>
      <c r="AI248" s="44" t="s">
        <v>2967</v>
      </c>
      <c r="AK248" s="44" t="s">
        <v>608</v>
      </c>
    </row>
    <row r="249" spans="1:37">
      <c r="A249" s="44" t="s">
        <v>2968</v>
      </c>
      <c r="B249" s="44" t="s">
        <v>609</v>
      </c>
      <c r="C249" s="44" t="s">
        <v>609</v>
      </c>
      <c r="D249" s="44" t="s">
        <v>1466</v>
      </c>
      <c r="E249" s="44" t="s">
        <v>1207</v>
      </c>
      <c r="F249" s="44" t="s">
        <v>2969</v>
      </c>
      <c r="G249" s="44" t="s">
        <v>1430</v>
      </c>
      <c r="H249" s="44" t="s">
        <v>1431</v>
      </c>
      <c r="I249" s="45">
        <v>40227.580055405095</v>
      </c>
      <c r="K249" s="44" t="s">
        <v>2970</v>
      </c>
      <c r="M249" s="44" t="s">
        <v>610</v>
      </c>
      <c r="N249" s="46">
        <f>VLOOKUP(M249,'Spend Export'!$B:$E,4,FALSE)</f>
        <v>21998</v>
      </c>
      <c r="O249" s="44" t="s">
        <v>1429</v>
      </c>
      <c r="P249" s="44" t="s">
        <v>2971</v>
      </c>
      <c r="Q249" s="44" t="s">
        <v>1429</v>
      </c>
      <c r="R249" s="44" t="s">
        <v>19</v>
      </c>
      <c r="S249" s="44" t="s">
        <v>19</v>
      </c>
      <c r="T249" s="44" t="s">
        <v>1708</v>
      </c>
      <c r="U249" s="44" t="s">
        <v>1708</v>
      </c>
      <c r="V249" s="44" t="s">
        <v>2972</v>
      </c>
      <c r="W249" s="44" t="s">
        <v>2973</v>
      </c>
      <c r="X249" s="44" t="s">
        <v>2451</v>
      </c>
      <c r="Y249" s="44" t="s">
        <v>1386</v>
      </c>
      <c r="Z249" s="44" t="s">
        <v>1386</v>
      </c>
      <c r="AG249" s="44" t="s">
        <v>2152</v>
      </c>
      <c r="AI249" s="44" t="s">
        <v>2974</v>
      </c>
      <c r="AK249" s="44" t="s">
        <v>2975</v>
      </c>
    </row>
    <row r="250" spans="1:37">
      <c r="B250" s="44" t="s">
        <v>156</v>
      </c>
      <c r="C250" s="44" t="s">
        <v>156</v>
      </c>
      <c r="D250" s="44" t="s">
        <v>1428</v>
      </c>
      <c r="E250" s="44" t="s">
        <v>1207</v>
      </c>
      <c r="F250" s="44" t="s">
        <v>1429</v>
      </c>
      <c r="G250" s="44" t="s">
        <v>1430</v>
      </c>
      <c r="I250" s="45">
        <v>44662.265447337966</v>
      </c>
      <c r="J250" s="44" t="s">
        <v>1756</v>
      </c>
      <c r="K250" s="44" t="s">
        <v>2976</v>
      </c>
      <c r="M250" s="44" t="s">
        <v>157</v>
      </c>
      <c r="N250" s="46" t="e">
        <f>VLOOKUP(M250,'Spend Export'!$B:$E,4,FALSE)</f>
        <v>#N/A</v>
      </c>
      <c r="O250" s="44" t="s">
        <v>1429</v>
      </c>
      <c r="P250" s="44" t="s">
        <v>2977</v>
      </c>
      <c r="Q250" s="44" t="s">
        <v>1429</v>
      </c>
      <c r="R250" s="44" t="s">
        <v>20</v>
      </c>
      <c r="S250" s="44" t="s">
        <v>19</v>
      </c>
      <c r="T250" s="44" t="s">
        <v>1458</v>
      </c>
      <c r="U250" s="44" t="s">
        <v>1458</v>
      </c>
      <c r="V250" s="44" t="s">
        <v>2094</v>
      </c>
      <c r="W250" s="44" t="s">
        <v>2978</v>
      </c>
      <c r="X250" s="44" t="s">
        <v>1450</v>
      </c>
      <c r="Y250" s="44" t="s">
        <v>1429</v>
      </c>
      <c r="Z250" s="44" t="s">
        <v>1429</v>
      </c>
      <c r="AA250" s="44" t="s">
        <v>1761</v>
      </c>
      <c r="AI250" s="44" t="s">
        <v>2979</v>
      </c>
      <c r="AK250" s="44" t="s">
        <v>157</v>
      </c>
    </row>
    <row r="251" spans="1:37">
      <c r="A251" s="44" t="s">
        <v>2980</v>
      </c>
      <c r="B251" s="44" t="s">
        <v>512</v>
      </c>
      <c r="C251" s="44" t="s">
        <v>512</v>
      </c>
      <c r="D251" s="44" t="s">
        <v>1764</v>
      </c>
      <c r="E251" s="44" t="s">
        <v>1617</v>
      </c>
      <c r="F251" s="44" t="s">
        <v>1429</v>
      </c>
      <c r="G251" s="44" t="s">
        <v>1430</v>
      </c>
      <c r="H251" s="44" t="s">
        <v>1431</v>
      </c>
      <c r="I251" s="45">
        <v>43452.461725312503</v>
      </c>
      <c r="J251" s="44" t="s">
        <v>2057</v>
      </c>
      <c r="K251" s="44" t="s">
        <v>2981</v>
      </c>
      <c r="M251" s="44" t="s">
        <v>513</v>
      </c>
      <c r="N251" s="46">
        <f>VLOOKUP(M251,'Spend Export'!$B:$E,4,FALSE)</f>
        <v>21742.5</v>
      </c>
      <c r="P251" s="44" t="s">
        <v>2982</v>
      </c>
      <c r="Q251" s="44" t="s">
        <v>1429</v>
      </c>
      <c r="R251" s="44" t="s">
        <v>20</v>
      </c>
      <c r="S251" s="44" t="s">
        <v>19</v>
      </c>
      <c r="T251" s="44" t="s">
        <v>1484</v>
      </c>
      <c r="U251" s="44" t="s">
        <v>1484</v>
      </c>
      <c r="V251" s="44" t="s">
        <v>2983</v>
      </c>
      <c r="W251" s="44" t="s">
        <v>2984</v>
      </c>
      <c r="X251" s="44" t="s">
        <v>1439</v>
      </c>
      <c r="Y251" s="44" t="s">
        <v>1429</v>
      </c>
      <c r="Z251" s="44" t="s">
        <v>1429</v>
      </c>
      <c r="AI251" s="44" t="s">
        <v>2985</v>
      </c>
      <c r="AK251" s="44" t="s">
        <v>513</v>
      </c>
    </row>
    <row r="252" spans="1:37">
      <c r="B252" s="44" t="s">
        <v>762</v>
      </c>
      <c r="C252" s="44" t="s">
        <v>762</v>
      </c>
      <c r="D252" s="44" t="s">
        <v>2986</v>
      </c>
      <c r="E252" s="44" t="s">
        <v>2987</v>
      </c>
      <c r="F252" s="44" t="s">
        <v>1429</v>
      </c>
      <c r="G252" s="44" t="s">
        <v>1430</v>
      </c>
      <c r="I252" s="45">
        <v>44998.438901307869</v>
      </c>
      <c r="J252" s="44" t="s">
        <v>2057</v>
      </c>
      <c r="K252" s="44" t="s">
        <v>2988</v>
      </c>
      <c r="M252" s="44" t="s">
        <v>763</v>
      </c>
      <c r="N252" s="46">
        <f>VLOOKUP(M252,'Spend Export'!$B:$E,4,FALSE)</f>
        <v>21511.760000000002</v>
      </c>
      <c r="O252" s="44" t="s">
        <v>1429</v>
      </c>
      <c r="P252" s="44" t="s">
        <v>2989</v>
      </c>
      <c r="Q252" s="44" t="s">
        <v>1429</v>
      </c>
      <c r="R252" s="44" t="s">
        <v>20</v>
      </c>
      <c r="S252" s="44" t="s">
        <v>19</v>
      </c>
      <c r="T252" s="44" t="s">
        <v>1484</v>
      </c>
      <c r="U252" s="44" t="s">
        <v>1484</v>
      </c>
      <c r="V252" s="44" t="s">
        <v>2990</v>
      </c>
      <c r="W252" s="44" t="s">
        <v>2991</v>
      </c>
      <c r="X252" s="44" t="s">
        <v>1450</v>
      </c>
      <c r="Y252" s="44" t="s">
        <v>1386</v>
      </c>
      <c r="Z252" s="44" t="s">
        <v>1429</v>
      </c>
      <c r="AG252" s="44" t="s">
        <v>2992</v>
      </c>
      <c r="AI252" s="44" t="s">
        <v>2993</v>
      </c>
      <c r="AK252" s="44" t="s">
        <v>763</v>
      </c>
    </row>
    <row r="253" spans="1:37">
      <c r="B253" s="44" t="s">
        <v>508</v>
      </c>
      <c r="C253" s="44" t="s">
        <v>508</v>
      </c>
      <c r="D253" s="44" t="s">
        <v>1443</v>
      </c>
      <c r="E253" s="44" t="s">
        <v>1207</v>
      </c>
      <c r="F253" s="44" t="s">
        <v>2994</v>
      </c>
      <c r="G253" s="44" t="s">
        <v>1430</v>
      </c>
      <c r="I253" s="45">
        <v>38709.521688275461</v>
      </c>
      <c r="K253" s="44" t="s">
        <v>2995</v>
      </c>
      <c r="M253" s="44" t="s">
        <v>509</v>
      </c>
      <c r="N253" s="46">
        <f>VLOOKUP(M253,'Spend Export'!$B:$E,4,FALSE)</f>
        <v>21295</v>
      </c>
      <c r="P253" s="44" t="s">
        <v>2996</v>
      </c>
      <c r="Q253" s="44" t="s">
        <v>1429</v>
      </c>
      <c r="R253" s="44" t="s">
        <v>20</v>
      </c>
      <c r="S253" s="44" t="s">
        <v>19</v>
      </c>
      <c r="T253" s="44" t="s">
        <v>2997</v>
      </c>
      <c r="U253" s="44" t="s">
        <v>1502</v>
      </c>
      <c r="V253" s="44" t="s">
        <v>2998</v>
      </c>
      <c r="W253" s="44" t="s">
        <v>2999</v>
      </c>
      <c r="X253" s="44" t="s">
        <v>1461</v>
      </c>
      <c r="Y253" s="44" t="s">
        <v>1429</v>
      </c>
      <c r="Z253" s="44" t="s">
        <v>1429</v>
      </c>
      <c r="AA253" s="44" t="s">
        <v>3000</v>
      </c>
      <c r="AK253" s="44" t="s">
        <v>509</v>
      </c>
    </row>
    <row r="254" spans="1:37">
      <c r="A254" s="44" t="s">
        <v>3001</v>
      </c>
      <c r="B254" s="44" t="s">
        <v>611</v>
      </c>
      <c r="C254" s="44" t="s">
        <v>611</v>
      </c>
      <c r="D254" s="44" t="s">
        <v>3002</v>
      </c>
      <c r="E254" s="44" t="s">
        <v>1572</v>
      </c>
      <c r="F254" s="44" t="s">
        <v>3003</v>
      </c>
      <c r="G254" s="44" t="s">
        <v>1430</v>
      </c>
      <c r="H254" s="44" t="s">
        <v>1431</v>
      </c>
      <c r="I254" s="45">
        <v>37918.615337731484</v>
      </c>
      <c r="K254" s="44" t="s">
        <v>3004</v>
      </c>
      <c r="M254" s="44" t="s">
        <v>612</v>
      </c>
      <c r="N254" s="46">
        <f>VLOOKUP(M254,'Spend Export'!$B:$E,4,FALSE)</f>
        <v>20402.690000000002</v>
      </c>
      <c r="P254" s="44" t="s">
        <v>1429</v>
      </c>
      <c r="Q254" s="44" t="s">
        <v>1429</v>
      </c>
      <c r="R254" s="44" t="s">
        <v>20</v>
      </c>
      <c r="S254" s="44" t="s">
        <v>19</v>
      </c>
      <c r="T254" s="44" t="s">
        <v>1484</v>
      </c>
      <c r="U254" s="44" t="s">
        <v>1484</v>
      </c>
      <c r="X254" s="44" t="s">
        <v>1439</v>
      </c>
      <c r="Y254" s="44" t="s">
        <v>1429</v>
      </c>
      <c r="Z254" s="44" t="s">
        <v>1429</v>
      </c>
      <c r="AI254" s="44" t="s">
        <v>3005</v>
      </c>
      <c r="AK254" s="44" t="s">
        <v>612</v>
      </c>
    </row>
    <row r="255" spans="1:37">
      <c r="B255" s="44" t="s">
        <v>252</v>
      </c>
      <c r="C255" s="44" t="s">
        <v>252</v>
      </c>
      <c r="D255" s="44" t="s">
        <v>2912</v>
      </c>
      <c r="E255" s="44" t="s">
        <v>1207</v>
      </c>
      <c r="F255" s="44" t="s">
        <v>1429</v>
      </c>
      <c r="G255" s="44" t="s">
        <v>1430</v>
      </c>
      <c r="I255" s="45">
        <v>44663.682152581016</v>
      </c>
      <c r="J255" s="44" t="s">
        <v>1756</v>
      </c>
      <c r="K255" s="44" t="s">
        <v>3006</v>
      </c>
      <c r="M255" s="44" t="s">
        <v>253</v>
      </c>
      <c r="N255" s="46" t="e">
        <f>VLOOKUP(M255,'Spend Export'!$B:$E,4,FALSE)</f>
        <v>#N/A</v>
      </c>
      <c r="O255" s="44" t="s">
        <v>1429</v>
      </c>
      <c r="P255" s="44" t="s">
        <v>3007</v>
      </c>
      <c r="Q255" s="44" t="s">
        <v>1429</v>
      </c>
      <c r="R255" s="44" t="s">
        <v>20</v>
      </c>
      <c r="S255" s="44" t="s">
        <v>19</v>
      </c>
      <c r="T255" s="44" t="s">
        <v>1458</v>
      </c>
      <c r="U255" s="44" t="s">
        <v>1458</v>
      </c>
      <c r="V255" s="44" t="s">
        <v>3008</v>
      </c>
      <c r="W255" s="44" t="s">
        <v>3009</v>
      </c>
      <c r="X255" s="44" t="s">
        <v>1450</v>
      </c>
      <c r="Y255" s="44" t="s">
        <v>1429</v>
      </c>
      <c r="Z255" s="44" t="s">
        <v>1429</v>
      </c>
      <c r="AA255" s="44" t="s">
        <v>3010</v>
      </c>
      <c r="AI255" s="44" t="s">
        <v>2096</v>
      </c>
      <c r="AK255" s="44" t="s">
        <v>253</v>
      </c>
    </row>
    <row r="256" spans="1:37">
      <c r="B256" s="44" t="s">
        <v>298</v>
      </c>
      <c r="C256" s="44" t="s">
        <v>298</v>
      </c>
      <c r="D256" s="44" t="s">
        <v>3011</v>
      </c>
      <c r="E256" s="44" t="s">
        <v>1207</v>
      </c>
      <c r="F256" s="44" t="s">
        <v>3012</v>
      </c>
      <c r="G256" s="44" t="s">
        <v>1430</v>
      </c>
      <c r="I256" s="45">
        <v>44145.658690243057</v>
      </c>
      <c r="J256" s="44" t="s">
        <v>3013</v>
      </c>
      <c r="K256" s="44" t="s">
        <v>3014</v>
      </c>
      <c r="M256" s="44" t="s">
        <v>299</v>
      </c>
      <c r="N256" s="46">
        <f>VLOOKUP(M256,'Spend Export'!$B:$E,4,FALSE)</f>
        <v>19549.560000000001</v>
      </c>
      <c r="P256" s="44" t="s">
        <v>3015</v>
      </c>
      <c r="Q256" s="44" t="s">
        <v>1429</v>
      </c>
      <c r="R256" s="44" t="s">
        <v>19</v>
      </c>
      <c r="S256" s="44" t="s">
        <v>19</v>
      </c>
      <c r="T256" s="44" t="s">
        <v>1502</v>
      </c>
      <c r="U256" s="44" t="s">
        <v>1502</v>
      </c>
      <c r="V256" s="44" t="s">
        <v>3016</v>
      </c>
      <c r="W256" s="44" t="s">
        <v>3017</v>
      </c>
      <c r="X256" s="44" t="s">
        <v>1439</v>
      </c>
      <c r="Y256" s="44" t="s">
        <v>1429</v>
      </c>
      <c r="Z256" s="44" t="s">
        <v>1429</v>
      </c>
      <c r="AG256" s="44" t="s">
        <v>3018</v>
      </c>
      <c r="AI256" s="44" t="s">
        <v>3019</v>
      </c>
      <c r="AK256" s="44" t="s">
        <v>299</v>
      </c>
    </row>
    <row r="257" spans="1:37">
      <c r="B257" s="44" t="s">
        <v>619</v>
      </c>
      <c r="C257" s="44" t="s">
        <v>619</v>
      </c>
      <c r="D257" s="44" t="s">
        <v>3020</v>
      </c>
      <c r="E257" s="44" t="s">
        <v>1652</v>
      </c>
      <c r="F257" s="44" t="s">
        <v>3021</v>
      </c>
      <c r="G257" s="44" t="s">
        <v>1430</v>
      </c>
      <c r="I257" s="45">
        <v>39463.514105208335</v>
      </c>
      <c r="K257" s="44" t="s">
        <v>3022</v>
      </c>
      <c r="M257" s="44" t="s">
        <v>620</v>
      </c>
      <c r="N257" s="46" t="e">
        <f>VLOOKUP(M257,'Spend Export'!$B:$E,4,FALSE)</f>
        <v>#N/A</v>
      </c>
      <c r="P257" s="44" t="s">
        <v>3023</v>
      </c>
      <c r="Q257" s="44" t="s">
        <v>1429</v>
      </c>
      <c r="R257" s="44" t="s">
        <v>20</v>
      </c>
      <c r="S257" s="44" t="s">
        <v>19</v>
      </c>
      <c r="T257" s="44" t="s">
        <v>1458</v>
      </c>
      <c r="U257" s="44" t="s">
        <v>1458</v>
      </c>
      <c r="X257" s="44" t="s">
        <v>1461</v>
      </c>
      <c r="Y257" s="44" t="s">
        <v>1429</v>
      </c>
      <c r="Z257" s="44" t="s">
        <v>1429</v>
      </c>
      <c r="AK257" s="44" t="s">
        <v>620</v>
      </c>
    </row>
    <row r="258" spans="1:37">
      <c r="B258" s="44" t="s">
        <v>834</v>
      </c>
      <c r="C258" s="44" t="s">
        <v>834</v>
      </c>
      <c r="D258" s="44" t="s">
        <v>3024</v>
      </c>
      <c r="E258" s="44" t="s">
        <v>1572</v>
      </c>
      <c r="F258" s="44" t="s">
        <v>1429</v>
      </c>
      <c r="G258" s="44" t="s">
        <v>1430</v>
      </c>
      <c r="I258" s="45">
        <v>37918.718532673614</v>
      </c>
      <c r="K258" s="44" t="s">
        <v>3025</v>
      </c>
      <c r="M258" s="44" t="s">
        <v>835</v>
      </c>
      <c r="N258" s="46">
        <f>VLOOKUP(M258,'Spend Export'!$B:$E,4,FALSE)</f>
        <v>19407.059999999998</v>
      </c>
      <c r="O258" s="44" t="s">
        <v>1429</v>
      </c>
      <c r="Q258" s="44" t="s">
        <v>1429</v>
      </c>
      <c r="R258" s="44" t="s">
        <v>20</v>
      </c>
      <c r="S258" s="44" t="s">
        <v>19</v>
      </c>
      <c r="T258" s="44" t="s">
        <v>1502</v>
      </c>
      <c r="U258" s="44" t="s">
        <v>1502</v>
      </c>
      <c r="V258" s="44" t="s">
        <v>3026</v>
      </c>
      <c r="W258" s="44" t="s">
        <v>3027</v>
      </c>
      <c r="X258" s="44" t="s">
        <v>1450</v>
      </c>
      <c r="Y258" s="44" t="s">
        <v>1429</v>
      </c>
      <c r="Z258" s="44" t="s">
        <v>1429</v>
      </c>
      <c r="AK258" s="44" t="s">
        <v>835</v>
      </c>
    </row>
    <row r="259" spans="1:37">
      <c r="B259" s="44" t="s">
        <v>384</v>
      </c>
      <c r="C259" s="44" t="s">
        <v>384</v>
      </c>
      <c r="D259" s="44" t="s">
        <v>1466</v>
      </c>
      <c r="E259" s="44" t="s">
        <v>1207</v>
      </c>
      <c r="F259" s="44" t="s">
        <v>1429</v>
      </c>
      <c r="G259" s="44" t="s">
        <v>1430</v>
      </c>
      <c r="I259" s="45">
        <v>37928.612044907408</v>
      </c>
      <c r="K259" s="44" t="s">
        <v>3028</v>
      </c>
      <c r="M259" s="44" t="s">
        <v>385</v>
      </c>
      <c r="N259" s="46" t="e">
        <f>VLOOKUP(M259,'Spend Export'!$B:$E,4,FALSE)</f>
        <v>#N/A</v>
      </c>
      <c r="O259" s="44" t="s">
        <v>1429</v>
      </c>
      <c r="P259" s="44" t="s">
        <v>3029</v>
      </c>
      <c r="Q259" s="44" t="s">
        <v>1429</v>
      </c>
      <c r="R259" s="44" t="s">
        <v>20</v>
      </c>
      <c r="S259" s="44" t="s">
        <v>19</v>
      </c>
      <c r="T259" s="44" t="s">
        <v>1458</v>
      </c>
      <c r="U259" s="44" t="s">
        <v>1458</v>
      </c>
      <c r="V259" s="44" t="s">
        <v>3030</v>
      </c>
      <c r="W259" s="44" t="s">
        <v>3031</v>
      </c>
      <c r="X259" s="44" t="s">
        <v>1450</v>
      </c>
      <c r="Y259" s="44" t="s">
        <v>1386</v>
      </c>
      <c r="Z259" s="44" t="s">
        <v>1386</v>
      </c>
      <c r="AI259" s="44" t="s">
        <v>3032</v>
      </c>
      <c r="AK259" s="44" t="s">
        <v>385</v>
      </c>
    </row>
    <row r="260" spans="1:37">
      <c r="A260" s="44" t="s">
        <v>2194</v>
      </c>
      <c r="B260" s="44" t="s">
        <v>1104</v>
      </c>
      <c r="C260" s="44" t="s">
        <v>1104</v>
      </c>
      <c r="D260" s="44" t="s">
        <v>3033</v>
      </c>
      <c r="E260" s="44" t="s">
        <v>2332</v>
      </c>
      <c r="F260" s="44" t="s">
        <v>1429</v>
      </c>
      <c r="G260" s="44" t="s">
        <v>1430</v>
      </c>
      <c r="H260" s="44" t="s">
        <v>1431</v>
      </c>
      <c r="I260" s="45">
        <v>43942.518013391207</v>
      </c>
      <c r="J260" s="44" t="s">
        <v>2934</v>
      </c>
      <c r="K260" s="44" t="s">
        <v>3034</v>
      </c>
      <c r="M260" s="44" t="s">
        <v>1105</v>
      </c>
      <c r="N260" s="46">
        <f>VLOOKUP(M260,'Spend Export'!$B:$E,4,FALSE)</f>
        <v>19356.27</v>
      </c>
      <c r="O260" s="44" t="s">
        <v>1429</v>
      </c>
      <c r="P260" s="44" t="s">
        <v>3035</v>
      </c>
      <c r="Q260" s="44" t="s">
        <v>1429</v>
      </c>
      <c r="R260" s="44" t="s">
        <v>20</v>
      </c>
      <c r="S260" s="44" t="s">
        <v>19</v>
      </c>
      <c r="T260" s="44" t="s">
        <v>3036</v>
      </c>
      <c r="U260" s="44" t="s">
        <v>3037</v>
      </c>
      <c r="V260" s="44" t="s">
        <v>3038</v>
      </c>
      <c r="W260" s="44" t="s">
        <v>3039</v>
      </c>
      <c r="X260" s="44" t="s">
        <v>1450</v>
      </c>
      <c r="Y260" s="44" t="s">
        <v>1429</v>
      </c>
      <c r="Z260" s="44" t="s">
        <v>1386</v>
      </c>
      <c r="AI260" s="44" t="s">
        <v>3040</v>
      </c>
      <c r="AK260" s="44" t="s">
        <v>1105</v>
      </c>
    </row>
    <row r="261" spans="1:37">
      <c r="B261" s="44" t="s">
        <v>246</v>
      </c>
      <c r="C261" s="44" t="s">
        <v>246</v>
      </c>
      <c r="D261" s="44" t="s">
        <v>1428</v>
      </c>
      <c r="E261" s="44" t="s">
        <v>1207</v>
      </c>
      <c r="F261" s="44" t="s">
        <v>1429</v>
      </c>
      <c r="G261" s="44" t="s">
        <v>1430</v>
      </c>
      <c r="I261" s="45">
        <v>37918.824865243056</v>
      </c>
      <c r="K261" s="44" t="s">
        <v>3041</v>
      </c>
      <c r="L261" s="44" t="s">
        <v>3042</v>
      </c>
      <c r="M261" s="44" t="s">
        <v>247</v>
      </c>
      <c r="N261" s="46">
        <f>VLOOKUP(M261,'Spend Export'!$B:$E,4,FALSE)</f>
        <v>19309.38</v>
      </c>
      <c r="P261" s="44" t="s">
        <v>3043</v>
      </c>
      <c r="Q261" s="44" t="s">
        <v>1429</v>
      </c>
      <c r="R261" s="44" t="s">
        <v>20</v>
      </c>
      <c r="S261" s="44" t="s">
        <v>19</v>
      </c>
      <c r="T261" s="44" t="s">
        <v>1519</v>
      </c>
      <c r="U261" s="44" t="s">
        <v>1519</v>
      </c>
      <c r="V261" s="44" t="s">
        <v>3044</v>
      </c>
      <c r="W261" s="44" t="s">
        <v>3045</v>
      </c>
      <c r="X261" s="44" t="s">
        <v>1439</v>
      </c>
      <c r="Y261" s="44" t="s">
        <v>1386</v>
      </c>
      <c r="Z261" s="44" t="s">
        <v>1429</v>
      </c>
      <c r="AK261" s="44" t="s">
        <v>247</v>
      </c>
    </row>
    <row r="262" spans="1:37">
      <c r="B262" s="44" t="s">
        <v>460</v>
      </c>
      <c r="C262" s="44" t="s">
        <v>460</v>
      </c>
      <c r="D262" s="44" t="s">
        <v>3046</v>
      </c>
      <c r="E262" s="44" t="s">
        <v>1682</v>
      </c>
      <c r="F262" s="44" t="s">
        <v>3047</v>
      </c>
      <c r="G262" s="44" t="s">
        <v>1430</v>
      </c>
      <c r="I262" s="45">
        <v>44167.496783020833</v>
      </c>
      <c r="J262" s="44" t="s">
        <v>3048</v>
      </c>
      <c r="K262" s="44" t="s">
        <v>3049</v>
      </c>
      <c r="M262" s="44" t="s">
        <v>461</v>
      </c>
      <c r="N262" s="46">
        <f>VLOOKUP(M262,'Spend Export'!$B:$E,4,FALSE)</f>
        <v>19188.5</v>
      </c>
      <c r="P262" s="44" t="s">
        <v>3050</v>
      </c>
      <c r="Q262" s="44" t="s">
        <v>1429</v>
      </c>
      <c r="R262" s="44" t="s">
        <v>19</v>
      </c>
      <c r="S262" s="44" t="s">
        <v>19</v>
      </c>
      <c r="T262" s="44" t="s">
        <v>3051</v>
      </c>
      <c r="U262" s="44" t="s">
        <v>1964</v>
      </c>
      <c r="V262" s="44" t="s">
        <v>3052</v>
      </c>
      <c r="W262" s="44" t="s">
        <v>3053</v>
      </c>
      <c r="X262" s="44" t="s">
        <v>1450</v>
      </c>
      <c r="Y262" s="44" t="s">
        <v>1386</v>
      </c>
      <c r="Z262" s="44" t="s">
        <v>1386</v>
      </c>
      <c r="AI262" s="44" t="s">
        <v>3054</v>
      </c>
      <c r="AK262" s="44" t="s">
        <v>461</v>
      </c>
    </row>
    <row r="263" spans="1:37">
      <c r="B263" s="44" t="s">
        <v>290</v>
      </c>
      <c r="C263" s="44" t="s">
        <v>290</v>
      </c>
      <c r="D263" s="44" t="s">
        <v>1428</v>
      </c>
      <c r="E263" s="44" t="s">
        <v>1207</v>
      </c>
      <c r="F263" s="44" t="s">
        <v>1429</v>
      </c>
      <c r="G263" s="44" t="s">
        <v>1430</v>
      </c>
      <c r="I263" s="45">
        <v>42794.35180945602</v>
      </c>
      <c r="K263" s="44" t="s">
        <v>3055</v>
      </c>
      <c r="M263" s="44" t="s">
        <v>291</v>
      </c>
      <c r="N263" s="46">
        <f>VLOOKUP(M263,'Spend Export'!$B:$E,4,FALSE)</f>
        <v>19175</v>
      </c>
      <c r="P263" s="44" t="s">
        <v>3056</v>
      </c>
      <c r="Q263" s="44" t="s">
        <v>1429</v>
      </c>
      <c r="R263" s="44" t="s">
        <v>20</v>
      </c>
      <c r="S263" s="44" t="s">
        <v>19</v>
      </c>
      <c r="T263" s="44" t="s">
        <v>1556</v>
      </c>
      <c r="U263" s="44" t="s">
        <v>1556</v>
      </c>
      <c r="V263" s="44" t="s">
        <v>3057</v>
      </c>
      <c r="W263" s="44" t="s">
        <v>3058</v>
      </c>
      <c r="X263" s="44" t="s">
        <v>1461</v>
      </c>
      <c r="Y263" s="44" t="s">
        <v>1429</v>
      </c>
      <c r="Z263" s="44" t="s">
        <v>1429</v>
      </c>
      <c r="AK263" s="44" t="s">
        <v>291</v>
      </c>
    </row>
    <row r="264" spans="1:37">
      <c r="B264" s="44" t="s">
        <v>682</v>
      </c>
      <c r="C264" s="44" t="s">
        <v>682</v>
      </c>
      <c r="D264" s="44" t="s">
        <v>1428</v>
      </c>
      <c r="E264" s="44" t="s">
        <v>1207</v>
      </c>
      <c r="F264" s="44" t="s">
        <v>1429</v>
      </c>
      <c r="G264" s="44" t="s">
        <v>1430</v>
      </c>
      <c r="I264" s="45">
        <v>39430.792589201388</v>
      </c>
      <c r="K264" s="44" t="s">
        <v>3059</v>
      </c>
      <c r="M264" s="44" t="s">
        <v>683</v>
      </c>
      <c r="N264" s="46">
        <f>VLOOKUP(M264,'Spend Export'!$B:$E,4,FALSE)</f>
        <v>19002.5</v>
      </c>
      <c r="P264" s="44" t="s">
        <v>3060</v>
      </c>
      <c r="Q264" s="44" t="s">
        <v>1429</v>
      </c>
      <c r="R264" s="44" t="s">
        <v>20</v>
      </c>
      <c r="S264" s="44" t="s">
        <v>19</v>
      </c>
      <c r="T264" s="44" t="s">
        <v>1556</v>
      </c>
      <c r="U264" s="44" t="s">
        <v>1556</v>
      </c>
      <c r="V264" s="44" t="s">
        <v>3061</v>
      </c>
      <c r="W264" s="44" t="s">
        <v>3062</v>
      </c>
      <c r="X264" s="44" t="s">
        <v>1439</v>
      </c>
      <c r="Y264" s="44" t="s">
        <v>1386</v>
      </c>
      <c r="Z264" s="44" t="s">
        <v>1429</v>
      </c>
      <c r="AK264" s="44" t="s">
        <v>683</v>
      </c>
    </row>
    <row r="265" spans="1:37">
      <c r="B265" s="44" t="s">
        <v>629</v>
      </c>
      <c r="C265" s="44" t="s">
        <v>629</v>
      </c>
      <c r="D265" s="44" t="s">
        <v>3033</v>
      </c>
      <c r="E265" s="44" t="s">
        <v>2332</v>
      </c>
      <c r="F265" s="44" t="s">
        <v>1429</v>
      </c>
      <c r="G265" s="44" t="s">
        <v>1430</v>
      </c>
      <c r="I265" s="45">
        <v>44547.643837997683</v>
      </c>
      <c r="J265" s="44" t="s">
        <v>1785</v>
      </c>
      <c r="K265" s="44" t="s">
        <v>3063</v>
      </c>
      <c r="M265" s="44" t="s">
        <v>630</v>
      </c>
      <c r="N265" s="46">
        <f>VLOOKUP(M265,'Spend Export'!$B:$E,4,FALSE)</f>
        <v>18769.760000000002</v>
      </c>
      <c r="O265" s="44" t="s">
        <v>1429</v>
      </c>
      <c r="P265" s="44" t="s">
        <v>3064</v>
      </c>
      <c r="Q265" s="44" t="s">
        <v>1429</v>
      </c>
      <c r="R265" s="44" t="s">
        <v>20</v>
      </c>
      <c r="S265" s="44" t="s">
        <v>19</v>
      </c>
      <c r="T265" s="44" t="s">
        <v>1964</v>
      </c>
      <c r="U265" s="44" t="s">
        <v>1964</v>
      </c>
      <c r="V265" s="44" t="s">
        <v>3065</v>
      </c>
      <c r="W265" s="44" t="s">
        <v>3066</v>
      </c>
      <c r="X265" s="44" t="s">
        <v>1461</v>
      </c>
      <c r="Y265" s="44" t="s">
        <v>1429</v>
      </c>
      <c r="Z265" s="44" t="s">
        <v>1386</v>
      </c>
      <c r="AA265" s="44" t="s">
        <v>3067</v>
      </c>
      <c r="AG265" s="44" t="s">
        <v>1785</v>
      </c>
      <c r="AI265" s="44" t="s">
        <v>3068</v>
      </c>
      <c r="AK265" s="44" t="s">
        <v>630</v>
      </c>
    </row>
    <row r="266" spans="1:37">
      <c r="B266" s="44" t="s">
        <v>440</v>
      </c>
      <c r="C266" s="44" t="s">
        <v>440</v>
      </c>
      <c r="D266" s="44" t="s">
        <v>1651</v>
      </c>
      <c r="E266" s="44" t="s">
        <v>1652</v>
      </c>
      <c r="F266" s="44" t="s">
        <v>3069</v>
      </c>
      <c r="G266" s="44" t="s">
        <v>1430</v>
      </c>
      <c r="I266" s="45">
        <v>39878.405731516206</v>
      </c>
      <c r="K266" s="44" t="s">
        <v>3070</v>
      </c>
      <c r="M266" s="44" t="s">
        <v>441</v>
      </c>
      <c r="N266" s="46">
        <f>VLOOKUP(M266,'Spend Export'!$B:$E,4,FALSE)</f>
        <v>18520.420000000002</v>
      </c>
      <c r="O266" s="44" t="s">
        <v>1429</v>
      </c>
      <c r="P266" s="44" t="s">
        <v>3071</v>
      </c>
      <c r="Q266" s="44" t="s">
        <v>1386</v>
      </c>
      <c r="R266" s="44" t="s">
        <v>19</v>
      </c>
      <c r="S266" s="44" t="s">
        <v>19</v>
      </c>
      <c r="T266" s="44" t="s">
        <v>3072</v>
      </c>
      <c r="U266" s="44" t="s">
        <v>1509</v>
      </c>
      <c r="V266" s="44" t="s">
        <v>3073</v>
      </c>
      <c r="W266" s="44" t="s">
        <v>3074</v>
      </c>
      <c r="X266" s="44" t="s">
        <v>1450</v>
      </c>
      <c r="Y266" s="44" t="s">
        <v>1429</v>
      </c>
      <c r="Z266" s="44" t="s">
        <v>1386</v>
      </c>
      <c r="AA266" s="44" t="s">
        <v>3075</v>
      </c>
      <c r="AI266" s="44" t="s">
        <v>3076</v>
      </c>
      <c r="AK266" s="44" t="s">
        <v>441</v>
      </c>
    </row>
    <row r="267" spans="1:37">
      <c r="B267" s="44" t="s">
        <v>782</v>
      </c>
      <c r="C267" s="44" t="s">
        <v>782</v>
      </c>
      <c r="D267" s="44" t="s">
        <v>3077</v>
      </c>
      <c r="E267" s="44" t="s">
        <v>1207</v>
      </c>
      <c r="F267" s="44" t="s">
        <v>3078</v>
      </c>
      <c r="G267" s="44" t="s">
        <v>1430</v>
      </c>
      <c r="I267" s="45">
        <v>42660.480633761574</v>
      </c>
      <c r="J267" s="44" t="s">
        <v>3079</v>
      </c>
      <c r="K267" s="44" t="s">
        <v>3080</v>
      </c>
      <c r="M267" s="44" t="s">
        <v>783</v>
      </c>
      <c r="N267" s="46">
        <f>VLOOKUP(M267,'Spend Export'!$B:$E,4,FALSE)</f>
        <v>18440.559999999998</v>
      </c>
      <c r="O267" s="44" t="s">
        <v>1429</v>
      </c>
      <c r="P267" s="44" t="s">
        <v>3081</v>
      </c>
      <c r="Q267" s="44" t="s">
        <v>1429</v>
      </c>
      <c r="R267" s="44" t="s">
        <v>20</v>
      </c>
      <c r="S267" s="44" t="s">
        <v>19</v>
      </c>
      <c r="T267" s="44" t="s">
        <v>1502</v>
      </c>
      <c r="U267" s="44" t="s">
        <v>1502</v>
      </c>
      <c r="V267" s="44" t="s">
        <v>3082</v>
      </c>
      <c r="W267" s="44" t="s">
        <v>3078</v>
      </c>
      <c r="X267" s="44" t="s">
        <v>1461</v>
      </c>
      <c r="Y267" s="44" t="s">
        <v>1386</v>
      </c>
      <c r="Z267" s="44" t="s">
        <v>1429</v>
      </c>
      <c r="AI267" s="44" t="s">
        <v>3083</v>
      </c>
      <c r="AK267" s="44" t="s">
        <v>783</v>
      </c>
    </row>
    <row r="268" spans="1:37">
      <c r="B268" s="44" t="s">
        <v>842</v>
      </c>
      <c r="C268" s="44" t="s">
        <v>842</v>
      </c>
      <c r="D268" s="44" t="s">
        <v>3084</v>
      </c>
      <c r="E268" s="44" t="s">
        <v>3085</v>
      </c>
      <c r="F268" s="44" t="s">
        <v>3086</v>
      </c>
      <c r="G268" s="44" t="s">
        <v>1430</v>
      </c>
      <c r="I268" s="45">
        <v>37918.73608545139</v>
      </c>
      <c r="K268" s="44" t="s">
        <v>3087</v>
      </c>
      <c r="M268" s="44" t="s">
        <v>843</v>
      </c>
      <c r="N268" s="46" t="e">
        <f>VLOOKUP(M268,'Spend Export'!$B:$E,4,FALSE)</f>
        <v>#N/A</v>
      </c>
      <c r="O268" s="44" t="s">
        <v>1429</v>
      </c>
      <c r="P268" s="44" t="s">
        <v>3088</v>
      </c>
      <c r="Q268" s="44" t="s">
        <v>1429</v>
      </c>
      <c r="R268" s="44" t="s">
        <v>20</v>
      </c>
      <c r="S268" s="44" t="s">
        <v>19</v>
      </c>
      <c r="T268" s="44" t="s">
        <v>3089</v>
      </c>
      <c r="U268" s="44" t="s">
        <v>1458</v>
      </c>
      <c r="V268" s="44" t="s">
        <v>3090</v>
      </c>
      <c r="W268" s="44" t="s">
        <v>3091</v>
      </c>
      <c r="X268" s="44" t="s">
        <v>1461</v>
      </c>
      <c r="Y268" s="44" t="s">
        <v>1386</v>
      </c>
      <c r="Z268" s="44" t="s">
        <v>1429</v>
      </c>
      <c r="AI268" s="44" t="s">
        <v>3092</v>
      </c>
      <c r="AK268" s="44" t="s">
        <v>843</v>
      </c>
    </row>
    <row r="269" spans="1:37">
      <c r="B269" s="44" t="s">
        <v>3093</v>
      </c>
      <c r="C269" s="44" t="s">
        <v>3093</v>
      </c>
      <c r="D269" s="44" t="s">
        <v>1466</v>
      </c>
      <c r="E269" s="44" t="s">
        <v>1207</v>
      </c>
      <c r="F269" s="44" t="s">
        <v>3094</v>
      </c>
      <c r="G269" s="44" t="s">
        <v>1430</v>
      </c>
      <c r="I269" s="45">
        <v>37918.652111342592</v>
      </c>
      <c r="K269" s="44" t="s">
        <v>3095</v>
      </c>
      <c r="L269" s="44" t="s">
        <v>3096</v>
      </c>
      <c r="M269" s="44" t="s">
        <v>545</v>
      </c>
      <c r="N269" s="46">
        <f>VLOOKUP(M269,'Spend Export'!$B:$E,4,FALSE)</f>
        <v>17679.649999999998</v>
      </c>
      <c r="P269" s="44" t="s">
        <v>3097</v>
      </c>
      <c r="Q269" s="44" t="s">
        <v>1386</v>
      </c>
      <c r="R269" s="44" t="s">
        <v>19</v>
      </c>
      <c r="S269" s="44" t="s">
        <v>19</v>
      </c>
      <c r="T269" s="44" t="s">
        <v>2585</v>
      </c>
      <c r="U269" s="44" t="s">
        <v>1502</v>
      </c>
      <c r="V269" s="44" t="s">
        <v>3098</v>
      </c>
      <c r="W269" s="44" t="s">
        <v>3099</v>
      </c>
      <c r="X269" s="44" t="s">
        <v>1450</v>
      </c>
      <c r="Y269" s="44" t="s">
        <v>1429</v>
      </c>
      <c r="Z269" s="44" t="s">
        <v>1386</v>
      </c>
      <c r="AG269" s="44" t="s">
        <v>1737</v>
      </c>
      <c r="AH269" s="44" t="s">
        <v>1503</v>
      </c>
      <c r="AI269" s="44" t="s">
        <v>3100</v>
      </c>
      <c r="AK269" s="44" t="s">
        <v>545</v>
      </c>
    </row>
    <row r="270" spans="1:37">
      <c r="B270" s="44" t="s">
        <v>802</v>
      </c>
      <c r="C270" s="44" t="s">
        <v>802</v>
      </c>
      <c r="D270" s="44" t="s">
        <v>3024</v>
      </c>
      <c r="E270" s="44" t="s">
        <v>1572</v>
      </c>
      <c r="F270" s="44" t="s">
        <v>1429</v>
      </c>
      <c r="G270" s="44" t="s">
        <v>1430</v>
      </c>
      <c r="I270" s="45">
        <v>37918.631983414351</v>
      </c>
      <c r="J270" s="44" t="s">
        <v>1503</v>
      </c>
      <c r="K270" s="44" t="s">
        <v>3101</v>
      </c>
      <c r="M270" s="44" t="s">
        <v>803</v>
      </c>
      <c r="N270" s="46">
        <f>VLOOKUP(M270,'Spend Export'!$B:$E,4,FALSE)</f>
        <v>17239.89</v>
      </c>
      <c r="O270" s="44" t="s">
        <v>1429</v>
      </c>
      <c r="Q270" s="44" t="s">
        <v>1429</v>
      </c>
      <c r="R270" s="44" t="s">
        <v>20</v>
      </c>
      <c r="S270" s="44" t="s">
        <v>19</v>
      </c>
      <c r="T270" s="44" t="s">
        <v>1502</v>
      </c>
      <c r="U270" s="44" t="s">
        <v>1502</v>
      </c>
      <c r="V270" s="44" t="s">
        <v>3102</v>
      </c>
      <c r="W270" s="44" t="s">
        <v>3103</v>
      </c>
      <c r="X270" s="44" t="s">
        <v>1450</v>
      </c>
      <c r="Y270" s="44" t="s">
        <v>1386</v>
      </c>
      <c r="Z270" s="44" t="s">
        <v>1429</v>
      </c>
      <c r="AI270" s="44" t="s">
        <v>3104</v>
      </c>
      <c r="AK270" s="44" t="s">
        <v>803</v>
      </c>
    </row>
    <row r="271" spans="1:37">
      <c r="B271" s="44" t="s">
        <v>770</v>
      </c>
      <c r="C271" s="44" t="s">
        <v>770</v>
      </c>
      <c r="D271" s="44" t="s">
        <v>3105</v>
      </c>
      <c r="E271" s="44" t="s">
        <v>2005</v>
      </c>
      <c r="F271" s="44" t="s">
        <v>1429</v>
      </c>
      <c r="G271" s="44" t="s">
        <v>1430</v>
      </c>
      <c r="I271" s="45">
        <v>37918.381933993056</v>
      </c>
      <c r="K271" s="44" t="s">
        <v>3106</v>
      </c>
      <c r="M271" s="44" t="s">
        <v>771</v>
      </c>
      <c r="N271" s="46">
        <f>VLOOKUP(M271,'Spend Export'!$B:$E,4,FALSE)</f>
        <v>16668</v>
      </c>
      <c r="P271" s="44" t="s">
        <v>3107</v>
      </c>
      <c r="Q271" s="44" t="s">
        <v>1429</v>
      </c>
      <c r="R271" s="44" t="s">
        <v>19</v>
      </c>
      <c r="S271" s="44" t="s">
        <v>19</v>
      </c>
      <c r="T271" s="44" t="s">
        <v>1708</v>
      </c>
      <c r="U271" s="44" t="s">
        <v>1708</v>
      </c>
      <c r="V271" s="44" t="s">
        <v>3108</v>
      </c>
      <c r="W271" s="44" t="s">
        <v>3109</v>
      </c>
      <c r="X271" s="44" t="s">
        <v>1450</v>
      </c>
      <c r="Y271" s="44" t="s">
        <v>1429</v>
      </c>
      <c r="Z271" s="44" t="s">
        <v>1386</v>
      </c>
      <c r="AE271" s="44" t="s">
        <v>3110</v>
      </c>
      <c r="AI271" s="44" t="s">
        <v>3111</v>
      </c>
      <c r="AK271" s="44" t="s">
        <v>771</v>
      </c>
    </row>
    <row r="272" spans="1:37">
      <c r="B272" s="44" t="s">
        <v>514</v>
      </c>
      <c r="C272" s="44" t="s">
        <v>514</v>
      </c>
      <c r="D272" s="44" t="s">
        <v>2154</v>
      </c>
      <c r="E272" s="44" t="s">
        <v>1207</v>
      </c>
      <c r="G272" s="44" t="s">
        <v>1430</v>
      </c>
      <c r="I272" s="45">
        <v>44855.805643252315</v>
      </c>
      <c r="J272" s="44" t="s">
        <v>1756</v>
      </c>
      <c r="K272" s="44" t="s">
        <v>3112</v>
      </c>
      <c r="M272" s="44" t="s">
        <v>515</v>
      </c>
      <c r="N272" s="46">
        <f>VLOOKUP(M272,'Spend Export'!$B:$E,4,FALSE)</f>
        <v>16650</v>
      </c>
      <c r="P272" s="44" t="s">
        <v>3113</v>
      </c>
      <c r="Q272" s="44" t="s">
        <v>1429</v>
      </c>
      <c r="R272" s="44" t="s">
        <v>20</v>
      </c>
      <c r="S272" s="44" t="s">
        <v>20</v>
      </c>
      <c r="T272" s="44" t="s">
        <v>2585</v>
      </c>
      <c r="U272" s="44" t="s">
        <v>1484</v>
      </c>
      <c r="V272" s="44" t="s">
        <v>3114</v>
      </c>
      <c r="W272" s="44" t="s">
        <v>3115</v>
      </c>
      <c r="X272" s="44" t="s">
        <v>1450</v>
      </c>
      <c r="Y272" s="44" t="s">
        <v>1429</v>
      </c>
      <c r="Z272" s="44" t="s">
        <v>1429</v>
      </c>
      <c r="AH272" s="44" t="s">
        <v>1488</v>
      </c>
      <c r="AI272" s="44" t="s">
        <v>3116</v>
      </c>
      <c r="AK272" s="44" t="s">
        <v>515</v>
      </c>
    </row>
    <row r="273" spans="1:37">
      <c r="A273" s="44" t="s">
        <v>1738</v>
      </c>
      <c r="B273" s="44" t="s">
        <v>372</v>
      </c>
      <c r="C273" s="44" t="s">
        <v>372</v>
      </c>
      <c r="D273" s="44" t="s">
        <v>1428</v>
      </c>
      <c r="E273" s="44" t="s">
        <v>1207</v>
      </c>
      <c r="F273" s="44" t="s">
        <v>1429</v>
      </c>
      <c r="G273" s="44" t="s">
        <v>1430</v>
      </c>
      <c r="H273" s="44" t="s">
        <v>1431</v>
      </c>
      <c r="I273" s="45">
        <v>38092.537270833331</v>
      </c>
      <c r="K273" s="44" t="s">
        <v>3117</v>
      </c>
      <c r="M273" s="44" t="s">
        <v>373</v>
      </c>
      <c r="N273" s="46">
        <f>VLOOKUP(M273,'Spend Export'!$B:$E,4,FALSE)</f>
        <v>16564</v>
      </c>
      <c r="P273" s="44" t="s">
        <v>3118</v>
      </c>
      <c r="Q273" s="44" t="s">
        <v>1429</v>
      </c>
      <c r="R273" s="44" t="s">
        <v>20</v>
      </c>
      <c r="S273" s="44" t="s">
        <v>19</v>
      </c>
      <c r="T273" s="44" t="s">
        <v>1964</v>
      </c>
      <c r="U273" s="44" t="s">
        <v>1964</v>
      </c>
      <c r="V273" s="44" t="s">
        <v>3119</v>
      </c>
      <c r="W273" s="44" t="s">
        <v>3120</v>
      </c>
      <c r="X273" s="44" t="s">
        <v>1439</v>
      </c>
      <c r="Y273" s="44" t="s">
        <v>1386</v>
      </c>
      <c r="Z273" s="44" t="s">
        <v>1386</v>
      </c>
      <c r="AK273" s="44" t="s">
        <v>373</v>
      </c>
    </row>
    <row r="274" spans="1:37">
      <c r="A274" s="44" t="s">
        <v>3121</v>
      </c>
      <c r="B274" s="44" t="s">
        <v>396</v>
      </c>
      <c r="C274" s="44" t="s">
        <v>396</v>
      </c>
      <c r="D274" s="44" t="s">
        <v>3122</v>
      </c>
      <c r="E274" s="44" t="s">
        <v>2332</v>
      </c>
      <c r="G274" s="44" t="s">
        <v>1430</v>
      </c>
      <c r="H274" s="44" t="s">
        <v>1431</v>
      </c>
      <c r="I274" s="45">
        <v>44837.661857372688</v>
      </c>
      <c r="J274" s="44" t="s">
        <v>3123</v>
      </c>
      <c r="K274" s="44" t="s">
        <v>3124</v>
      </c>
      <c r="M274" s="44" t="s">
        <v>397</v>
      </c>
      <c r="N274" s="46">
        <f>VLOOKUP(M274,'Spend Export'!$B:$E,4,FALSE)</f>
        <v>16559.740000000002</v>
      </c>
      <c r="Q274" s="44" t="s">
        <v>1429</v>
      </c>
      <c r="R274" s="44" t="s">
        <v>20</v>
      </c>
      <c r="S274" s="44" t="s">
        <v>20</v>
      </c>
      <c r="T274" s="44" t="s">
        <v>1708</v>
      </c>
      <c r="U274" s="44" t="s">
        <v>1708</v>
      </c>
      <c r="X274" s="44" t="s">
        <v>1450</v>
      </c>
      <c r="Y274" s="44" t="s">
        <v>1429</v>
      </c>
      <c r="Z274" s="44" t="s">
        <v>1429</v>
      </c>
      <c r="AI274" s="44" t="s">
        <v>3125</v>
      </c>
      <c r="AK274" s="44" t="s">
        <v>397</v>
      </c>
    </row>
    <row r="275" spans="1:37">
      <c r="A275" s="44" t="s">
        <v>3126</v>
      </c>
      <c r="B275" s="44" t="s">
        <v>354</v>
      </c>
      <c r="C275" s="44" t="s">
        <v>3127</v>
      </c>
      <c r="D275" s="44" t="s">
        <v>2907</v>
      </c>
      <c r="E275" s="44" t="s">
        <v>1682</v>
      </c>
      <c r="F275" s="44" t="s">
        <v>3128</v>
      </c>
      <c r="G275" s="44" t="s">
        <v>1430</v>
      </c>
      <c r="H275" s="44" t="s">
        <v>1431</v>
      </c>
      <c r="I275" s="45">
        <v>38750.493989618059</v>
      </c>
      <c r="K275" s="44" t="s">
        <v>3129</v>
      </c>
      <c r="M275" s="44" t="s">
        <v>355</v>
      </c>
      <c r="N275" s="46">
        <f>VLOOKUP(M275,'Spend Export'!$B:$E,4,FALSE)</f>
        <v>16541.16</v>
      </c>
      <c r="P275" s="44" t="s">
        <v>3130</v>
      </c>
      <c r="Q275" s="44" t="s">
        <v>1429</v>
      </c>
      <c r="R275" s="44" t="s">
        <v>20</v>
      </c>
      <c r="S275" s="44" t="s">
        <v>20</v>
      </c>
      <c r="T275" s="44" t="s">
        <v>1964</v>
      </c>
      <c r="U275" s="44" t="s">
        <v>1964</v>
      </c>
      <c r="X275" s="44" t="s">
        <v>1461</v>
      </c>
      <c r="Y275" s="44" t="s">
        <v>1429</v>
      </c>
      <c r="Z275" s="44" t="s">
        <v>1429</v>
      </c>
      <c r="AK275" s="44" t="s">
        <v>3131</v>
      </c>
    </row>
    <row r="276" spans="1:37">
      <c r="B276" s="44" t="s">
        <v>851</v>
      </c>
      <c r="C276" s="44" t="s">
        <v>851</v>
      </c>
      <c r="D276" s="44" t="s">
        <v>1769</v>
      </c>
      <c r="E276" s="44" t="s">
        <v>1207</v>
      </c>
      <c r="F276" s="44" t="s">
        <v>3132</v>
      </c>
      <c r="G276" s="44" t="s">
        <v>1430</v>
      </c>
      <c r="I276" s="45">
        <v>42544.44178854167</v>
      </c>
      <c r="K276" s="44" t="s">
        <v>3133</v>
      </c>
      <c r="M276" s="44" t="s">
        <v>852</v>
      </c>
      <c r="N276" s="46">
        <f>VLOOKUP(M276,'Spend Export'!$B:$E,4,FALSE)</f>
        <v>16261.49</v>
      </c>
      <c r="O276" s="44" t="s">
        <v>1429</v>
      </c>
      <c r="P276" s="44" t="s">
        <v>3134</v>
      </c>
      <c r="Q276" s="44" t="s">
        <v>1429</v>
      </c>
      <c r="R276" s="44" t="s">
        <v>19</v>
      </c>
      <c r="S276" s="44" t="s">
        <v>19</v>
      </c>
      <c r="T276" s="44" t="s">
        <v>2566</v>
      </c>
      <c r="U276" s="44" t="s">
        <v>1484</v>
      </c>
      <c r="V276" s="44" t="s">
        <v>3135</v>
      </c>
      <c r="W276" s="44" t="s">
        <v>3132</v>
      </c>
      <c r="X276" s="44" t="s">
        <v>1439</v>
      </c>
      <c r="Y276" s="44" t="s">
        <v>1429</v>
      </c>
      <c r="Z276" s="44" t="s">
        <v>1386</v>
      </c>
      <c r="AI276" s="44" t="s">
        <v>3136</v>
      </c>
      <c r="AK276" s="44" t="s">
        <v>852</v>
      </c>
    </row>
    <row r="277" spans="1:37">
      <c r="B277" s="44" t="s">
        <v>227</v>
      </c>
      <c r="C277" s="44" t="s">
        <v>227</v>
      </c>
      <c r="D277" s="44" t="s">
        <v>1428</v>
      </c>
      <c r="E277" s="44" t="s">
        <v>1207</v>
      </c>
      <c r="F277" s="44" t="s">
        <v>3137</v>
      </c>
      <c r="G277" s="44" t="s">
        <v>1430</v>
      </c>
      <c r="I277" s="45">
        <v>39044.689382025463</v>
      </c>
      <c r="K277" s="44" t="s">
        <v>3138</v>
      </c>
      <c r="M277" s="44" t="s">
        <v>228</v>
      </c>
      <c r="N277" s="46">
        <f>VLOOKUP(M277,'Spend Export'!$B:$E,4,FALSE)</f>
        <v>16135</v>
      </c>
      <c r="P277" s="44" t="s">
        <v>3139</v>
      </c>
      <c r="Q277" s="44" t="s">
        <v>1429</v>
      </c>
      <c r="R277" s="44" t="s">
        <v>20</v>
      </c>
      <c r="S277" s="44" t="s">
        <v>19</v>
      </c>
      <c r="T277" s="44" t="s">
        <v>1502</v>
      </c>
      <c r="U277" s="44" t="s">
        <v>1502</v>
      </c>
      <c r="X277" s="44" t="s">
        <v>1439</v>
      </c>
      <c r="Y277" s="44" t="s">
        <v>1429</v>
      </c>
      <c r="Z277" s="44" t="s">
        <v>1429</v>
      </c>
      <c r="AK277" s="44" t="s">
        <v>228</v>
      </c>
    </row>
    <row r="278" spans="1:37">
      <c r="B278" s="44" t="s">
        <v>844</v>
      </c>
      <c r="C278" s="44" t="s">
        <v>844</v>
      </c>
      <c r="D278" s="44" t="s">
        <v>1522</v>
      </c>
      <c r="E278" s="44" t="s">
        <v>1207</v>
      </c>
      <c r="F278" s="44" t="s">
        <v>3140</v>
      </c>
      <c r="G278" s="44" t="s">
        <v>1430</v>
      </c>
      <c r="I278" s="45">
        <v>41292.542942129628</v>
      </c>
      <c r="K278" s="44" t="s">
        <v>3141</v>
      </c>
      <c r="M278" s="44" t="s">
        <v>845</v>
      </c>
      <c r="N278" s="46">
        <f>VLOOKUP(M278,'Spend Export'!$B:$E,4,FALSE)</f>
        <v>15840</v>
      </c>
      <c r="O278" s="44" t="s">
        <v>1429</v>
      </c>
      <c r="P278" s="44" t="s">
        <v>3142</v>
      </c>
      <c r="Q278" s="44" t="s">
        <v>1429</v>
      </c>
      <c r="R278" s="44" t="s">
        <v>20</v>
      </c>
      <c r="S278" s="44" t="s">
        <v>19</v>
      </c>
      <c r="T278" s="44" t="s">
        <v>1502</v>
      </c>
      <c r="U278" s="44" t="s">
        <v>1502</v>
      </c>
      <c r="V278" s="44" t="s">
        <v>3143</v>
      </c>
      <c r="W278" s="44" t="s">
        <v>3144</v>
      </c>
      <c r="X278" s="44" t="s">
        <v>1439</v>
      </c>
      <c r="Y278" s="44" t="s">
        <v>1429</v>
      </c>
      <c r="Z278" s="44" t="s">
        <v>1429</v>
      </c>
      <c r="AA278" s="44" t="s">
        <v>1761</v>
      </c>
      <c r="AK278" s="44" t="s">
        <v>3145</v>
      </c>
    </row>
    <row r="279" spans="1:37">
      <c r="B279" s="44" t="s">
        <v>420</v>
      </c>
      <c r="C279" s="44" t="s">
        <v>420</v>
      </c>
      <c r="D279" s="44" t="s">
        <v>3146</v>
      </c>
      <c r="E279" s="44" t="s">
        <v>1682</v>
      </c>
      <c r="F279" s="44" t="s">
        <v>1429</v>
      </c>
      <c r="G279" s="44" t="s">
        <v>1430</v>
      </c>
      <c r="I279" s="45">
        <v>45042.682050312498</v>
      </c>
      <c r="J279" s="44" t="s">
        <v>3147</v>
      </c>
      <c r="K279" s="44" t="s">
        <v>3148</v>
      </c>
      <c r="M279" s="44" t="s">
        <v>421</v>
      </c>
      <c r="N279" s="46">
        <f>VLOOKUP(M279,'Spend Export'!$B:$E,4,FALSE)</f>
        <v>15755.17</v>
      </c>
      <c r="O279" s="44" t="s">
        <v>1429</v>
      </c>
      <c r="P279" s="44" t="s">
        <v>3149</v>
      </c>
      <c r="Q279" s="44" t="s">
        <v>1429</v>
      </c>
      <c r="R279" s="44" t="s">
        <v>20</v>
      </c>
      <c r="S279" s="44" t="s">
        <v>19</v>
      </c>
      <c r="T279" s="44" t="s">
        <v>1519</v>
      </c>
      <c r="U279" s="44" t="s">
        <v>1519</v>
      </c>
      <c r="V279" s="44" t="s">
        <v>3150</v>
      </c>
      <c r="W279" s="44" t="s">
        <v>3151</v>
      </c>
      <c r="X279" s="44" t="s">
        <v>1450</v>
      </c>
      <c r="Y279" s="44" t="s">
        <v>1429</v>
      </c>
      <c r="Z279" s="44" t="s">
        <v>1429</v>
      </c>
      <c r="AC279" s="44" t="s">
        <v>3152</v>
      </c>
      <c r="AI279" s="44" t="s">
        <v>3153</v>
      </c>
      <c r="AK279" s="44" t="s">
        <v>421</v>
      </c>
    </row>
    <row r="280" spans="1:37">
      <c r="B280" s="44" t="s">
        <v>881</v>
      </c>
      <c r="C280" s="44" t="s">
        <v>881</v>
      </c>
      <c r="D280" s="44" t="s">
        <v>1443</v>
      </c>
      <c r="E280" s="44" t="s">
        <v>1207</v>
      </c>
      <c r="F280" s="44" t="s">
        <v>1429</v>
      </c>
      <c r="G280" s="44" t="s">
        <v>1430</v>
      </c>
      <c r="I280" s="45">
        <v>39776.511183020833</v>
      </c>
      <c r="K280" s="44" t="s">
        <v>3154</v>
      </c>
      <c r="M280" s="44" t="s">
        <v>882</v>
      </c>
      <c r="N280" s="46">
        <f>VLOOKUP(M280,'Spend Export'!$B:$E,4,FALSE)</f>
        <v>15600</v>
      </c>
      <c r="P280" s="44" t="s">
        <v>3155</v>
      </c>
      <c r="Q280" s="44" t="s">
        <v>1429</v>
      </c>
      <c r="R280" s="44" t="s">
        <v>19</v>
      </c>
      <c r="S280" s="44" t="s">
        <v>19</v>
      </c>
      <c r="T280" s="44" t="s">
        <v>1708</v>
      </c>
      <c r="U280" s="44" t="s">
        <v>1708</v>
      </c>
      <c r="V280" s="44" t="s">
        <v>3156</v>
      </c>
      <c r="W280" s="44" t="s">
        <v>3157</v>
      </c>
      <c r="X280" s="44" t="s">
        <v>2451</v>
      </c>
      <c r="Y280" s="44" t="s">
        <v>1429</v>
      </c>
      <c r="Z280" s="44" t="s">
        <v>1429</v>
      </c>
      <c r="AK280" s="44" t="s">
        <v>882</v>
      </c>
    </row>
    <row r="281" spans="1:37">
      <c r="B281" s="44" t="s">
        <v>554</v>
      </c>
      <c r="C281" s="44" t="s">
        <v>554</v>
      </c>
      <c r="D281" s="44" t="s">
        <v>1428</v>
      </c>
      <c r="E281" s="44" t="s">
        <v>1207</v>
      </c>
      <c r="F281" s="44" t="s">
        <v>3158</v>
      </c>
      <c r="G281" s="44" t="s">
        <v>1430</v>
      </c>
      <c r="I281" s="45">
        <v>38110.59163865741</v>
      </c>
      <c r="K281" s="44" t="s">
        <v>3159</v>
      </c>
      <c r="M281" s="44" t="s">
        <v>555</v>
      </c>
      <c r="N281" s="46">
        <f>VLOOKUP(M281,'Spend Export'!$B:$E,4,FALSE)</f>
        <v>15108.840000000002</v>
      </c>
      <c r="P281" s="44" t="s">
        <v>3160</v>
      </c>
      <c r="Q281" s="44" t="s">
        <v>1429</v>
      </c>
      <c r="R281" s="44" t="s">
        <v>20</v>
      </c>
      <c r="S281" s="44" t="s">
        <v>19</v>
      </c>
      <c r="T281" s="44" t="s">
        <v>1556</v>
      </c>
      <c r="U281" s="44" t="s">
        <v>1556</v>
      </c>
      <c r="X281" s="44" t="s">
        <v>1439</v>
      </c>
      <c r="Y281" s="44" t="s">
        <v>1429</v>
      </c>
      <c r="Z281" s="44" t="s">
        <v>1429</v>
      </c>
      <c r="AK281" s="44" t="s">
        <v>555</v>
      </c>
    </row>
    <row r="282" spans="1:37">
      <c r="B282" s="44" t="s">
        <v>1025</v>
      </c>
      <c r="C282" s="44" t="s">
        <v>1025</v>
      </c>
      <c r="D282" s="44" t="s">
        <v>1428</v>
      </c>
      <c r="E282" s="44" t="s">
        <v>1207</v>
      </c>
      <c r="F282" s="44" t="s">
        <v>1429</v>
      </c>
      <c r="G282" s="44" t="s">
        <v>1430</v>
      </c>
      <c r="I282" s="45">
        <v>44459.412808530091</v>
      </c>
      <c r="J282" s="44" t="s">
        <v>3161</v>
      </c>
      <c r="K282" s="44" t="s">
        <v>3162</v>
      </c>
      <c r="M282" s="44" t="s">
        <v>1026</v>
      </c>
      <c r="N282" s="46">
        <f>VLOOKUP(M282,'Spend Export'!$B:$E,4,FALSE)</f>
        <v>15105</v>
      </c>
      <c r="O282" s="44" t="s">
        <v>1429</v>
      </c>
      <c r="P282" s="44" t="s">
        <v>3163</v>
      </c>
      <c r="Q282" s="44" t="s">
        <v>1429</v>
      </c>
      <c r="R282" s="44" t="s">
        <v>20</v>
      </c>
      <c r="S282" s="44" t="s">
        <v>19</v>
      </c>
      <c r="T282" s="44" t="s">
        <v>1484</v>
      </c>
      <c r="U282" s="44" t="s">
        <v>1484</v>
      </c>
      <c r="V282" s="44" t="s">
        <v>3164</v>
      </c>
      <c r="W282" s="44" t="s">
        <v>3165</v>
      </c>
      <c r="X282" s="44" t="s">
        <v>1584</v>
      </c>
      <c r="Y282" s="44" t="s">
        <v>1386</v>
      </c>
      <c r="Z282" s="44" t="s">
        <v>1429</v>
      </c>
      <c r="AI282" s="44" t="s">
        <v>3166</v>
      </c>
      <c r="AK282" s="44" t="s">
        <v>1026</v>
      </c>
    </row>
    <row r="283" spans="1:37">
      <c r="B283" s="44" t="s">
        <v>470</v>
      </c>
      <c r="C283" s="44" t="s">
        <v>470</v>
      </c>
      <c r="D283" s="44" t="s">
        <v>3167</v>
      </c>
      <c r="E283" s="44" t="s">
        <v>3168</v>
      </c>
      <c r="F283" s="44" t="s">
        <v>3169</v>
      </c>
      <c r="G283" s="44" t="s">
        <v>1430</v>
      </c>
      <c r="I283" s="45">
        <v>37918.655100694443</v>
      </c>
      <c r="K283" s="44" t="s">
        <v>3170</v>
      </c>
      <c r="M283" s="44" t="s">
        <v>471</v>
      </c>
      <c r="N283" s="46">
        <f>VLOOKUP(M283,'Spend Export'!$B:$E,4,FALSE)</f>
        <v>15075.3</v>
      </c>
      <c r="O283" s="44" t="s">
        <v>1429</v>
      </c>
      <c r="P283" s="44" t="s">
        <v>3171</v>
      </c>
      <c r="Q283" s="44" t="s">
        <v>1429</v>
      </c>
      <c r="R283" s="44" t="s">
        <v>20</v>
      </c>
      <c r="S283" s="44" t="s">
        <v>19</v>
      </c>
      <c r="T283" s="44" t="s">
        <v>1556</v>
      </c>
      <c r="U283" s="44" t="s">
        <v>1556</v>
      </c>
      <c r="V283" s="44" t="s">
        <v>3172</v>
      </c>
      <c r="W283" s="44" t="s">
        <v>3169</v>
      </c>
      <c r="X283" s="44" t="s">
        <v>1439</v>
      </c>
      <c r="Y283" s="44" t="s">
        <v>1386</v>
      </c>
      <c r="Z283" s="44" t="s">
        <v>1429</v>
      </c>
      <c r="AG283" s="44" t="s">
        <v>3173</v>
      </c>
      <c r="AH283" s="44" t="s">
        <v>3173</v>
      </c>
      <c r="AK283" s="44" t="s">
        <v>471</v>
      </c>
    </row>
    <row r="284" spans="1:37">
      <c r="B284" s="44" t="s">
        <v>1120</v>
      </c>
      <c r="C284" s="44" t="s">
        <v>1120</v>
      </c>
      <c r="D284" s="44" t="s">
        <v>1428</v>
      </c>
      <c r="E284" s="44" t="s">
        <v>1207</v>
      </c>
      <c r="F284" s="44" t="s">
        <v>1429</v>
      </c>
      <c r="G284" s="44" t="s">
        <v>1430</v>
      </c>
      <c r="I284" s="45">
        <v>45082.568658877317</v>
      </c>
      <c r="J284" s="44" t="s">
        <v>3174</v>
      </c>
      <c r="K284" s="44" t="s">
        <v>3175</v>
      </c>
      <c r="M284" s="44" t="s">
        <v>1121</v>
      </c>
      <c r="N284" s="46">
        <f>VLOOKUP(M284,'Spend Export'!$B:$E,4,FALSE)</f>
        <v>15018</v>
      </c>
      <c r="O284" s="44" t="s">
        <v>1429</v>
      </c>
      <c r="P284" s="44" t="s">
        <v>3176</v>
      </c>
      <c r="Q284" s="44" t="s">
        <v>1429</v>
      </c>
      <c r="R284" s="44" t="s">
        <v>20</v>
      </c>
      <c r="S284" s="44" t="s">
        <v>20</v>
      </c>
      <c r="T284" s="44" t="s">
        <v>1484</v>
      </c>
      <c r="U284" s="44" t="s">
        <v>1484</v>
      </c>
      <c r="V284" s="44" t="s">
        <v>3177</v>
      </c>
      <c r="W284" s="44" t="s">
        <v>3178</v>
      </c>
      <c r="X284" s="44" t="s">
        <v>1584</v>
      </c>
      <c r="Y284" s="44" t="s">
        <v>1429</v>
      </c>
      <c r="Z284" s="44" t="s">
        <v>1429</v>
      </c>
      <c r="AI284" s="44" t="s">
        <v>3179</v>
      </c>
      <c r="AK284" s="44" t="s">
        <v>1121</v>
      </c>
    </row>
    <row r="285" spans="1:37">
      <c r="B285" s="44" t="s">
        <v>984</v>
      </c>
      <c r="C285" s="44" t="s">
        <v>984</v>
      </c>
      <c r="D285" s="44" t="s">
        <v>1428</v>
      </c>
      <c r="E285" s="44" t="s">
        <v>1207</v>
      </c>
      <c r="F285" s="44" t="s">
        <v>3180</v>
      </c>
      <c r="G285" s="44" t="s">
        <v>1430</v>
      </c>
      <c r="I285" s="45">
        <v>43451.451048842595</v>
      </c>
      <c r="J285" s="44" t="s">
        <v>1719</v>
      </c>
      <c r="K285" s="44" t="s">
        <v>3181</v>
      </c>
      <c r="M285" s="44" t="s">
        <v>985</v>
      </c>
      <c r="N285" s="46" t="e">
        <f>VLOOKUP(M285,'Spend Export'!$B:$E,4,FALSE)</f>
        <v>#N/A</v>
      </c>
      <c r="P285" s="44" t="s">
        <v>3182</v>
      </c>
      <c r="Q285" s="44" t="s">
        <v>1429</v>
      </c>
      <c r="R285" s="44" t="s">
        <v>20</v>
      </c>
      <c r="S285" s="44" t="s">
        <v>19</v>
      </c>
      <c r="T285" s="44" t="s">
        <v>1458</v>
      </c>
      <c r="U285" s="44" t="s">
        <v>1458</v>
      </c>
      <c r="V285" s="44" t="s">
        <v>3183</v>
      </c>
      <c r="W285" s="44" t="s">
        <v>3184</v>
      </c>
      <c r="X285" s="44" t="s">
        <v>1450</v>
      </c>
      <c r="Y285" s="44" t="s">
        <v>1429</v>
      </c>
      <c r="Z285" s="44" t="s">
        <v>1386</v>
      </c>
      <c r="AA285" s="44" t="s">
        <v>1719</v>
      </c>
      <c r="AG285" s="44" t="s">
        <v>2126</v>
      </c>
      <c r="AI285" s="44" t="s">
        <v>3185</v>
      </c>
      <c r="AK285" s="44" t="s">
        <v>985</v>
      </c>
    </row>
    <row r="286" spans="1:37">
      <c r="B286" s="44" t="s">
        <v>548</v>
      </c>
      <c r="C286" s="44" t="s">
        <v>548</v>
      </c>
      <c r="D286" s="44" t="s">
        <v>1890</v>
      </c>
      <c r="E286" s="44" t="s">
        <v>1207</v>
      </c>
      <c r="F286" s="44" t="s">
        <v>1429</v>
      </c>
      <c r="G286" s="44" t="s">
        <v>1430</v>
      </c>
      <c r="I286" s="45">
        <v>43013.635800960648</v>
      </c>
      <c r="J286" s="44" t="s">
        <v>3186</v>
      </c>
      <c r="K286" s="44" t="s">
        <v>3187</v>
      </c>
      <c r="M286" s="44" t="s">
        <v>549</v>
      </c>
      <c r="N286" s="46">
        <f>VLOOKUP(M286,'Spend Export'!$B:$E,4,FALSE)</f>
        <v>14519.75</v>
      </c>
      <c r="P286" s="44" t="s">
        <v>3188</v>
      </c>
      <c r="Q286" s="44" t="s">
        <v>1429</v>
      </c>
      <c r="R286" s="44" t="s">
        <v>19</v>
      </c>
      <c r="S286" s="44" t="s">
        <v>19</v>
      </c>
      <c r="T286" s="44" t="s">
        <v>3189</v>
      </c>
      <c r="U286" s="44" t="s">
        <v>1708</v>
      </c>
      <c r="V286" s="44" t="s">
        <v>3190</v>
      </c>
      <c r="W286" s="44" t="s">
        <v>3191</v>
      </c>
      <c r="X286" s="44" t="s">
        <v>1461</v>
      </c>
      <c r="Y286" s="44" t="s">
        <v>1429</v>
      </c>
      <c r="Z286" s="44" t="s">
        <v>1386</v>
      </c>
      <c r="AA286" s="44" t="s">
        <v>1452</v>
      </c>
      <c r="AE286" s="44" t="s">
        <v>1452</v>
      </c>
      <c r="AI286" s="44" t="s">
        <v>3192</v>
      </c>
      <c r="AK286" s="44" t="s">
        <v>549</v>
      </c>
    </row>
    <row r="287" spans="1:37">
      <c r="B287" s="44" t="s">
        <v>264</v>
      </c>
      <c r="C287" s="44" t="s">
        <v>264</v>
      </c>
      <c r="D287" s="44" t="s">
        <v>1428</v>
      </c>
      <c r="E287" s="44" t="s">
        <v>1207</v>
      </c>
      <c r="F287" s="44" t="s">
        <v>1429</v>
      </c>
      <c r="G287" s="44" t="s">
        <v>1430</v>
      </c>
      <c r="I287" s="45">
        <v>44824.616102083331</v>
      </c>
      <c r="J287" s="44" t="s">
        <v>3193</v>
      </c>
      <c r="K287" s="44" t="s">
        <v>3194</v>
      </c>
      <c r="M287" s="44" t="s">
        <v>265</v>
      </c>
      <c r="N287" s="46">
        <f>VLOOKUP(M287,'Spend Export'!$B:$E,4,FALSE)</f>
        <v>14410</v>
      </c>
      <c r="O287" s="44" t="s">
        <v>1429</v>
      </c>
      <c r="P287" s="44" t="s">
        <v>3195</v>
      </c>
      <c r="Q287" s="44" t="s">
        <v>1429</v>
      </c>
      <c r="R287" s="44" t="s">
        <v>20</v>
      </c>
      <c r="S287" s="44" t="s">
        <v>19</v>
      </c>
      <c r="T287" s="44" t="s">
        <v>1556</v>
      </c>
      <c r="U287" s="44" t="s">
        <v>1556</v>
      </c>
      <c r="V287" s="44" t="s">
        <v>3196</v>
      </c>
      <c r="W287" s="44" t="s">
        <v>3197</v>
      </c>
      <c r="X287" s="44" t="s">
        <v>1461</v>
      </c>
      <c r="Y287" s="44" t="s">
        <v>1386</v>
      </c>
      <c r="Z287" s="44" t="s">
        <v>1429</v>
      </c>
      <c r="AI287" s="44" t="s">
        <v>3198</v>
      </c>
      <c r="AK287" s="44" t="s">
        <v>265</v>
      </c>
    </row>
    <row r="288" spans="1:37">
      <c r="B288" s="44" t="s">
        <v>360</v>
      </c>
      <c r="C288" s="44" t="s">
        <v>360</v>
      </c>
      <c r="D288" s="44" t="s">
        <v>3199</v>
      </c>
      <c r="E288" s="44" t="s">
        <v>2332</v>
      </c>
      <c r="F288" s="44" t="s">
        <v>1429</v>
      </c>
      <c r="G288" s="44" t="s">
        <v>1430</v>
      </c>
      <c r="I288" s="45">
        <v>41243.531932372687</v>
      </c>
      <c r="K288" s="44" t="s">
        <v>3200</v>
      </c>
      <c r="M288" s="44" t="s">
        <v>361</v>
      </c>
      <c r="N288" s="46">
        <f>VLOOKUP(M288,'Spend Export'!$B:$E,4,FALSE)</f>
        <v>14363</v>
      </c>
      <c r="O288" s="44" t="s">
        <v>1429</v>
      </c>
      <c r="P288" s="44" t="s">
        <v>3201</v>
      </c>
      <c r="Q288" s="44" t="s">
        <v>1386</v>
      </c>
      <c r="R288" s="44" t="s">
        <v>20</v>
      </c>
      <c r="S288" s="44" t="s">
        <v>19</v>
      </c>
      <c r="T288" s="44" t="s">
        <v>1556</v>
      </c>
      <c r="U288" s="44" t="s">
        <v>1556</v>
      </c>
      <c r="V288" s="44" t="s">
        <v>3202</v>
      </c>
      <c r="W288" s="44" t="s">
        <v>3203</v>
      </c>
      <c r="X288" s="44" t="s">
        <v>1450</v>
      </c>
      <c r="Y288" s="44" t="s">
        <v>1429</v>
      </c>
      <c r="Z288" s="44" t="s">
        <v>1386</v>
      </c>
      <c r="AF288" s="44" t="s">
        <v>2340</v>
      </c>
      <c r="AG288" s="44" t="s">
        <v>3204</v>
      </c>
      <c r="AI288" s="44" t="s">
        <v>3205</v>
      </c>
      <c r="AK288" s="44" t="s">
        <v>361</v>
      </c>
    </row>
    <row r="289" spans="2:37">
      <c r="B289" s="44" t="s">
        <v>468</v>
      </c>
      <c r="C289" s="44" t="s">
        <v>468</v>
      </c>
      <c r="D289" s="44" t="s">
        <v>1428</v>
      </c>
      <c r="E289" s="44" t="s">
        <v>1207</v>
      </c>
      <c r="F289" s="44" t="s">
        <v>3206</v>
      </c>
      <c r="G289" s="44" t="s">
        <v>1430</v>
      </c>
      <c r="I289" s="45">
        <v>38043.471929479165</v>
      </c>
      <c r="J289" s="44" t="s">
        <v>1756</v>
      </c>
      <c r="K289" s="44" t="s">
        <v>3207</v>
      </c>
      <c r="M289" s="44" t="s">
        <v>469</v>
      </c>
      <c r="N289" s="46">
        <f>VLOOKUP(M289,'Spend Export'!$B:$E,4,FALSE)</f>
        <v>14172.099999999999</v>
      </c>
      <c r="O289" s="44" t="s">
        <v>1429</v>
      </c>
      <c r="P289" s="44" t="s">
        <v>3208</v>
      </c>
      <c r="Q289" s="44" t="s">
        <v>1429</v>
      </c>
      <c r="R289" s="44" t="s">
        <v>20</v>
      </c>
      <c r="S289" s="44" t="s">
        <v>19</v>
      </c>
      <c r="T289" s="44" t="s">
        <v>1556</v>
      </c>
      <c r="U289" s="44" t="s">
        <v>1556</v>
      </c>
      <c r="V289" s="44" t="s">
        <v>2094</v>
      </c>
      <c r="W289" s="44" t="s">
        <v>3206</v>
      </c>
      <c r="X289" s="44" t="s">
        <v>1439</v>
      </c>
      <c r="Y289" s="44" t="s">
        <v>1429</v>
      </c>
      <c r="Z289" s="44" t="s">
        <v>1386</v>
      </c>
      <c r="AA289" s="44" t="s">
        <v>1761</v>
      </c>
      <c r="AI289" s="44" t="s">
        <v>3209</v>
      </c>
      <c r="AK289" s="44" t="s">
        <v>469</v>
      </c>
    </row>
    <row r="290" spans="2:37">
      <c r="B290" s="44" t="s">
        <v>1096</v>
      </c>
      <c r="C290" s="44" t="s">
        <v>1096</v>
      </c>
      <c r="D290" s="44" t="s">
        <v>3210</v>
      </c>
      <c r="E290" s="44" t="s">
        <v>1207</v>
      </c>
      <c r="F290" s="44" t="s">
        <v>1429</v>
      </c>
      <c r="G290" s="44" t="s">
        <v>1430</v>
      </c>
      <c r="I290" s="45">
        <v>45119.581145405093</v>
      </c>
      <c r="J290" s="44" t="s">
        <v>3211</v>
      </c>
      <c r="K290" s="44" t="s">
        <v>3212</v>
      </c>
      <c r="M290" s="44" t="s">
        <v>1097</v>
      </c>
      <c r="N290" s="46">
        <f>VLOOKUP(M290,'Spend Export'!$B:$E,4,FALSE)</f>
        <v>14097.48</v>
      </c>
      <c r="O290" s="44" t="s">
        <v>1429</v>
      </c>
      <c r="P290" s="44" t="s">
        <v>3213</v>
      </c>
      <c r="Q290" s="44" t="s">
        <v>1429</v>
      </c>
      <c r="R290" s="44" t="s">
        <v>20</v>
      </c>
      <c r="S290" s="44" t="s">
        <v>19</v>
      </c>
      <c r="T290" s="44" t="s">
        <v>1964</v>
      </c>
      <c r="U290" s="44" t="s">
        <v>1964</v>
      </c>
      <c r="V290" s="44" t="s">
        <v>3214</v>
      </c>
      <c r="W290" s="44" t="s">
        <v>3215</v>
      </c>
      <c r="X290" s="44" t="s">
        <v>1461</v>
      </c>
      <c r="Y290" s="44" t="s">
        <v>1429</v>
      </c>
      <c r="Z290" s="44" t="s">
        <v>1386</v>
      </c>
      <c r="AI290" s="44" t="s">
        <v>3216</v>
      </c>
      <c r="AK290" s="44" t="s">
        <v>1097</v>
      </c>
    </row>
    <row r="291" spans="2:37">
      <c r="B291" s="44" t="s">
        <v>652</v>
      </c>
      <c r="C291" s="44" t="s">
        <v>652</v>
      </c>
      <c r="D291" s="44" t="s">
        <v>3217</v>
      </c>
      <c r="E291" s="44" t="s">
        <v>1682</v>
      </c>
      <c r="F291" s="44" t="s">
        <v>3218</v>
      </c>
      <c r="G291" s="44" t="s">
        <v>1430</v>
      </c>
      <c r="I291" s="45">
        <v>43809.607995798608</v>
      </c>
      <c r="J291" s="44" t="s">
        <v>3219</v>
      </c>
      <c r="K291" s="44" t="s">
        <v>3220</v>
      </c>
      <c r="M291" s="44" t="s">
        <v>653</v>
      </c>
      <c r="N291" s="46">
        <f>VLOOKUP(M291,'Spend Export'!$B:$E,4,FALSE)</f>
        <v>13946.94</v>
      </c>
      <c r="P291" s="44" t="s">
        <v>3221</v>
      </c>
      <c r="Q291" s="44" t="s">
        <v>1429</v>
      </c>
      <c r="R291" s="44" t="s">
        <v>19</v>
      </c>
      <c r="S291" s="44" t="s">
        <v>19</v>
      </c>
      <c r="T291" s="44" t="s">
        <v>3222</v>
      </c>
      <c r="U291" s="44" t="s">
        <v>1484</v>
      </c>
      <c r="V291" s="44" t="s">
        <v>3223</v>
      </c>
      <c r="W291" s="44" t="s">
        <v>3224</v>
      </c>
      <c r="X291" s="44" t="s">
        <v>1461</v>
      </c>
      <c r="Y291" s="44" t="s">
        <v>1429</v>
      </c>
      <c r="Z291" s="44" t="s">
        <v>1386</v>
      </c>
      <c r="AI291" s="44" t="s">
        <v>3225</v>
      </c>
      <c r="AK291" s="44" t="s">
        <v>653</v>
      </c>
    </row>
    <row r="292" spans="2:37">
      <c r="B292" s="44" t="s">
        <v>754</v>
      </c>
      <c r="C292" s="44" t="s">
        <v>754</v>
      </c>
      <c r="D292" s="44" t="s">
        <v>3226</v>
      </c>
      <c r="E292" s="44" t="s">
        <v>1572</v>
      </c>
      <c r="G292" s="44" t="s">
        <v>1430</v>
      </c>
      <c r="I292" s="45">
        <v>44834.418221180553</v>
      </c>
      <c r="J292" s="44" t="s">
        <v>2418</v>
      </c>
      <c r="K292" s="44" t="s">
        <v>3227</v>
      </c>
      <c r="M292" s="44" t="s">
        <v>755</v>
      </c>
      <c r="N292" s="46">
        <f>VLOOKUP(M292,'Spend Export'!$B:$E,4,FALSE)</f>
        <v>13835.310000000001</v>
      </c>
      <c r="Q292" s="44" t="s">
        <v>1429</v>
      </c>
      <c r="R292" s="44" t="s">
        <v>20</v>
      </c>
      <c r="S292" s="44" t="s">
        <v>20</v>
      </c>
      <c r="T292" s="44" t="s">
        <v>1708</v>
      </c>
      <c r="U292" s="44" t="s">
        <v>1708</v>
      </c>
      <c r="X292" s="44" t="s">
        <v>1450</v>
      </c>
      <c r="Y292" s="44" t="s">
        <v>1429</v>
      </c>
      <c r="Z292" s="44" t="s">
        <v>1429</v>
      </c>
      <c r="AI292" s="44" t="s">
        <v>3228</v>
      </c>
      <c r="AK292" s="44" t="s">
        <v>755</v>
      </c>
    </row>
    <row r="293" spans="2:37">
      <c r="B293" s="44" t="s">
        <v>726</v>
      </c>
      <c r="C293" s="44" t="s">
        <v>726</v>
      </c>
      <c r="D293" s="44" t="s">
        <v>1490</v>
      </c>
      <c r="E293" s="44" t="s">
        <v>1491</v>
      </c>
      <c r="F293" s="44" t="s">
        <v>3229</v>
      </c>
      <c r="G293" s="44" t="s">
        <v>1430</v>
      </c>
      <c r="I293" s="45">
        <v>37918.644946759261</v>
      </c>
      <c r="J293" s="44" t="s">
        <v>2057</v>
      </c>
      <c r="K293" s="44" t="s">
        <v>3230</v>
      </c>
      <c r="L293" s="44" t="s">
        <v>3231</v>
      </c>
      <c r="M293" s="44" t="s">
        <v>727</v>
      </c>
      <c r="N293" s="46">
        <f>VLOOKUP(M293,'Spend Export'!$B:$E,4,FALSE)</f>
        <v>13801</v>
      </c>
      <c r="O293" s="44" t="s">
        <v>1429</v>
      </c>
      <c r="P293" s="44" t="s">
        <v>3232</v>
      </c>
      <c r="Q293" s="44" t="s">
        <v>1429</v>
      </c>
      <c r="R293" s="44" t="s">
        <v>20</v>
      </c>
      <c r="S293" s="44" t="s">
        <v>19</v>
      </c>
      <c r="T293" s="44" t="s">
        <v>1484</v>
      </c>
      <c r="U293" s="44" t="s">
        <v>1484</v>
      </c>
      <c r="V293" s="44" t="s">
        <v>3233</v>
      </c>
      <c r="W293" s="44" t="s">
        <v>3234</v>
      </c>
      <c r="X293" s="44" t="s">
        <v>1450</v>
      </c>
      <c r="Y293" s="44" t="s">
        <v>1429</v>
      </c>
      <c r="Z293" s="44" t="s">
        <v>1429</v>
      </c>
      <c r="AG293" s="44" t="s">
        <v>2062</v>
      </c>
      <c r="AI293" s="44" t="s">
        <v>3235</v>
      </c>
      <c r="AK293" s="44" t="s">
        <v>727</v>
      </c>
    </row>
    <row r="294" spans="2:37">
      <c r="B294" s="44" t="s">
        <v>1086</v>
      </c>
      <c r="C294" s="44" t="s">
        <v>1086</v>
      </c>
      <c r="D294" s="44" t="s">
        <v>2029</v>
      </c>
      <c r="E294" s="44" t="s">
        <v>1572</v>
      </c>
      <c r="F294" s="44" t="s">
        <v>1429</v>
      </c>
      <c r="G294" s="44" t="s">
        <v>1430</v>
      </c>
      <c r="I294" s="45">
        <v>44515.495191435184</v>
      </c>
      <c r="J294" s="44" t="s">
        <v>2108</v>
      </c>
      <c r="K294" s="44" t="s">
        <v>3236</v>
      </c>
      <c r="M294" s="44" t="s">
        <v>1087</v>
      </c>
      <c r="N294" s="46">
        <f>VLOOKUP(M294,'Spend Export'!$B:$E,4,FALSE)</f>
        <v>13746.86</v>
      </c>
      <c r="O294" s="44" t="s">
        <v>1429</v>
      </c>
      <c r="P294" s="44" t="s">
        <v>1429</v>
      </c>
      <c r="Q294" s="44" t="s">
        <v>1429</v>
      </c>
      <c r="R294" s="44" t="s">
        <v>20</v>
      </c>
      <c r="S294" s="44" t="s">
        <v>19</v>
      </c>
      <c r="T294" s="44" t="s">
        <v>1484</v>
      </c>
      <c r="U294" s="44" t="s">
        <v>1484</v>
      </c>
      <c r="V294" s="44" t="s">
        <v>3237</v>
      </c>
      <c r="W294" s="44" t="s">
        <v>3238</v>
      </c>
      <c r="X294" s="44" t="s">
        <v>1439</v>
      </c>
      <c r="Y294" s="44" t="s">
        <v>1386</v>
      </c>
      <c r="Z294" s="44" t="s">
        <v>1386</v>
      </c>
      <c r="AG294" s="44" t="s">
        <v>3239</v>
      </c>
      <c r="AI294" s="44" t="s">
        <v>3240</v>
      </c>
      <c r="AK294" s="44" t="s">
        <v>1087</v>
      </c>
    </row>
    <row r="295" spans="2:37">
      <c r="B295" s="44" t="s">
        <v>621</v>
      </c>
      <c r="C295" s="44" t="s">
        <v>621</v>
      </c>
      <c r="D295" s="44" t="s">
        <v>1428</v>
      </c>
      <c r="E295" s="44" t="s">
        <v>1207</v>
      </c>
      <c r="F295" s="44" t="s">
        <v>1429</v>
      </c>
      <c r="G295" s="44" t="s">
        <v>1430</v>
      </c>
      <c r="I295" s="45">
        <v>43445.700064039353</v>
      </c>
      <c r="J295" s="44" t="s">
        <v>3241</v>
      </c>
      <c r="K295" s="44" t="s">
        <v>3242</v>
      </c>
      <c r="M295" s="44" t="s">
        <v>622</v>
      </c>
      <c r="N295" s="46">
        <f>VLOOKUP(M295,'Spend Export'!$B:$E,4,FALSE)</f>
        <v>13505.57</v>
      </c>
      <c r="P295" s="44" t="s">
        <v>3243</v>
      </c>
      <c r="Q295" s="44" t="s">
        <v>1429</v>
      </c>
      <c r="R295" s="44" t="s">
        <v>20</v>
      </c>
      <c r="S295" s="44" t="s">
        <v>19</v>
      </c>
      <c r="T295" s="44" t="s">
        <v>3244</v>
      </c>
      <c r="U295" s="44" t="s">
        <v>3244</v>
      </c>
      <c r="V295" s="44" t="s">
        <v>3245</v>
      </c>
      <c r="W295" s="44" t="s">
        <v>3246</v>
      </c>
      <c r="X295" s="44" t="s">
        <v>1439</v>
      </c>
      <c r="Y295" s="44" t="s">
        <v>1429</v>
      </c>
      <c r="Z295" s="44" t="s">
        <v>1386</v>
      </c>
      <c r="AG295" s="44" t="s">
        <v>3241</v>
      </c>
      <c r="AI295" s="44" t="s">
        <v>3247</v>
      </c>
      <c r="AK295" s="44" t="s">
        <v>622</v>
      </c>
    </row>
    <row r="296" spans="2:37">
      <c r="B296" s="44" t="s">
        <v>716</v>
      </c>
      <c r="C296" s="44" t="s">
        <v>716</v>
      </c>
      <c r="D296" s="44" t="s">
        <v>2201</v>
      </c>
      <c r="E296" s="44" t="s">
        <v>1207</v>
      </c>
      <c r="F296" s="44" t="s">
        <v>1429</v>
      </c>
      <c r="G296" s="44" t="s">
        <v>1430</v>
      </c>
      <c r="I296" s="45">
        <v>44879.611245173612</v>
      </c>
      <c r="J296" s="44" t="s">
        <v>2749</v>
      </c>
      <c r="K296" s="44" t="s">
        <v>3248</v>
      </c>
      <c r="M296" s="44" t="s">
        <v>717</v>
      </c>
      <c r="N296" s="46">
        <f>VLOOKUP(M296,'Spend Export'!$B:$E,4,FALSE)</f>
        <v>13429.42</v>
      </c>
      <c r="O296" s="44" t="s">
        <v>1429</v>
      </c>
      <c r="P296" s="44" t="s">
        <v>3249</v>
      </c>
      <c r="Q296" s="44" t="s">
        <v>1429</v>
      </c>
      <c r="R296" s="44" t="s">
        <v>19</v>
      </c>
      <c r="S296" s="44" t="s">
        <v>19</v>
      </c>
      <c r="T296" s="44" t="s">
        <v>1708</v>
      </c>
      <c r="U296" s="44" t="s">
        <v>1708</v>
      </c>
      <c r="V296" s="44" t="s">
        <v>3250</v>
      </c>
      <c r="W296" s="44" t="s">
        <v>3251</v>
      </c>
      <c r="X296" s="44" t="s">
        <v>1461</v>
      </c>
      <c r="Y296" s="44" t="s">
        <v>1386</v>
      </c>
      <c r="Z296" s="44" t="s">
        <v>1386</v>
      </c>
      <c r="AE296" s="44" t="s">
        <v>3252</v>
      </c>
      <c r="AI296" s="44" t="s">
        <v>3253</v>
      </c>
      <c r="AK296" s="44" t="s">
        <v>717</v>
      </c>
    </row>
    <row r="297" spans="2:37">
      <c r="B297" s="44" t="s">
        <v>1084</v>
      </c>
      <c r="C297" s="44" t="s">
        <v>1084</v>
      </c>
      <c r="D297" s="44" t="s">
        <v>3254</v>
      </c>
      <c r="E297" s="44" t="s">
        <v>1572</v>
      </c>
      <c r="F297" s="44" t="s">
        <v>1429</v>
      </c>
      <c r="G297" s="44" t="s">
        <v>1430</v>
      </c>
      <c r="I297" s="45">
        <v>39804.822817824075</v>
      </c>
      <c r="K297" s="44" t="s">
        <v>3255</v>
      </c>
      <c r="M297" s="44" t="s">
        <v>1085</v>
      </c>
      <c r="N297" s="46">
        <f>VLOOKUP(M297,'Spend Export'!$B:$E,4,FALSE)</f>
        <v>13422.33</v>
      </c>
      <c r="P297" s="44" t="s">
        <v>1429</v>
      </c>
      <c r="Q297" s="44" t="s">
        <v>1429</v>
      </c>
      <c r="R297" s="44" t="s">
        <v>20</v>
      </c>
      <c r="S297" s="44" t="s">
        <v>19</v>
      </c>
      <c r="T297" s="44" t="s">
        <v>1556</v>
      </c>
      <c r="U297" s="44" t="s">
        <v>1556</v>
      </c>
      <c r="V297" s="44" t="s">
        <v>3256</v>
      </c>
      <c r="W297" s="44" t="s">
        <v>3257</v>
      </c>
      <c r="X297" s="44" t="s">
        <v>1439</v>
      </c>
      <c r="Y297" s="44" t="s">
        <v>1386</v>
      </c>
      <c r="Z297" s="44" t="s">
        <v>1386</v>
      </c>
      <c r="AA297" s="44" t="s">
        <v>3258</v>
      </c>
      <c r="AK297" s="44" t="s">
        <v>1085</v>
      </c>
    </row>
    <row r="298" spans="2:37">
      <c r="B298" s="44" t="s">
        <v>1112</v>
      </c>
      <c r="C298" s="44" t="s">
        <v>1112</v>
      </c>
      <c r="D298" s="44" t="s">
        <v>3259</v>
      </c>
      <c r="E298" s="44" t="s">
        <v>1499</v>
      </c>
      <c r="F298" s="44" t="s">
        <v>3260</v>
      </c>
      <c r="G298" s="44" t="s">
        <v>1430</v>
      </c>
      <c r="I298" s="45">
        <v>44277.482880127318</v>
      </c>
      <c r="J298" s="44" t="s">
        <v>1863</v>
      </c>
      <c r="K298" s="44" t="s">
        <v>3261</v>
      </c>
      <c r="M298" s="44" t="s">
        <v>1113</v>
      </c>
      <c r="N298" s="46">
        <f>VLOOKUP(M298,'Spend Export'!$B:$E,4,FALSE)</f>
        <v>13357</v>
      </c>
      <c r="P298" s="44" t="s">
        <v>3262</v>
      </c>
      <c r="Q298" s="44" t="s">
        <v>1429</v>
      </c>
      <c r="R298" s="44" t="s">
        <v>19</v>
      </c>
      <c r="S298" s="44" t="s">
        <v>19</v>
      </c>
      <c r="T298" s="44" t="s">
        <v>1484</v>
      </c>
      <c r="U298" s="44" t="s">
        <v>1484</v>
      </c>
      <c r="V298" s="44" t="s">
        <v>3263</v>
      </c>
      <c r="W298" s="44" t="s">
        <v>3264</v>
      </c>
      <c r="X298" s="44" t="s">
        <v>1461</v>
      </c>
      <c r="Y298" s="44" t="s">
        <v>1386</v>
      </c>
      <c r="Z298" s="44" t="s">
        <v>1429</v>
      </c>
      <c r="AG298" s="44" t="s">
        <v>3265</v>
      </c>
      <c r="AI298" s="44" t="s">
        <v>3266</v>
      </c>
      <c r="AK298" s="44" t="s">
        <v>1113</v>
      </c>
    </row>
    <row r="299" spans="2:37">
      <c r="B299" s="44" t="s">
        <v>410</v>
      </c>
      <c r="C299" s="44" t="s">
        <v>410</v>
      </c>
      <c r="D299" s="44" t="s">
        <v>1783</v>
      </c>
      <c r="E299" s="44" t="s">
        <v>1784</v>
      </c>
      <c r="F299" s="44" t="s">
        <v>3267</v>
      </c>
      <c r="G299" s="44" t="s">
        <v>1430</v>
      </c>
      <c r="I299" s="45">
        <v>41460.595886076386</v>
      </c>
      <c r="K299" s="44" t="s">
        <v>3268</v>
      </c>
      <c r="M299" s="44" t="s">
        <v>411</v>
      </c>
      <c r="N299" s="46">
        <f>VLOOKUP(M299,'Spend Export'!$B:$E,4,FALSE)</f>
        <v>12433.45</v>
      </c>
      <c r="P299" s="44" t="s">
        <v>1429</v>
      </c>
      <c r="Q299" s="44" t="s">
        <v>1429</v>
      </c>
      <c r="R299" s="44" t="s">
        <v>20</v>
      </c>
      <c r="S299" s="44" t="s">
        <v>19</v>
      </c>
      <c r="T299" s="44" t="s">
        <v>1519</v>
      </c>
      <c r="U299" s="44" t="s">
        <v>1519</v>
      </c>
      <c r="V299" s="44" t="s">
        <v>3269</v>
      </c>
      <c r="W299" s="44" t="s">
        <v>3270</v>
      </c>
      <c r="X299" s="44" t="s">
        <v>1439</v>
      </c>
      <c r="Y299" s="44" t="s">
        <v>1386</v>
      </c>
      <c r="Z299" s="44" t="s">
        <v>1386</v>
      </c>
      <c r="AK299" s="44" t="s">
        <v>411</v>
      </c>
    </row>
    <row r="300" spans="2:37">
      <c r="B300" s="44" t="s">
        <v>625</v>
      </c>
      <c r="C300" s="44" t="s">
        <v>625</v>
      </c>
      <c r="D300" s="44" t="s">
        <v>1466</v>
      </c>
      <c r="E300" s="44" t="s">
        <v>1207</v>
      </c>
      <c r="F300" s="44" t="s">
        <v>3271</v>
      </c>
      <c r="G300" s="44" t="s">
        <v>1430</v>
      </c>
      <c r="I300" s="45">
        <v>37928.625339930557</v>
      </c>
      <c r="K300" s="44" t="s">
        <v>3272</v>
      </c>
      <c r="M300" s="44" t="s">
        <v>626</v>
      </c>
      <c r="N300" s="46">
        <f>VLOOKUP(M300,'Spend Export'!$B:$E,4,FALSE)</f>
        <v>12199.2</v>
      </c>
      <c r="P300" s="44" t="s">
        <v>3273</v>
      </c>
      <c r="Q300" s="44" t="s">
        <v>1429</v>
      </c>
      <c r="R300" s="44" t="s">
        <v>20</v>
      </c>
      <c r="S300" s="44" t="s">
        <v>19</v>
      </c>
      <c r="T300" s="44" t="s">
        <v>1502</v>
      </c>
      <c r="U300" s="44" t="s">
        <v>1502</v>
      </c>
      <c r="X300" s="44" t="s">
        <v>1584</v>
      </c>
      <c r="Y300" s="44" t="s">
        <v>1429</v>
      </c>
      <c r="Z300" s="44" t="s">
        <v>1429</v>
      </c>
      <c r="AK300" s="44" t="s">
        <v>626</v>
      </c>
    </row>
    <row r="301" spans="2:37">
      <c r="B301" s="44" t="s">
        <v>732</v>
      </c>
      <c r="C301" s="44" t="s">
        <v>732</v>
      </c>
      <c r="D301" s="44" t="s">
        <v>3274</v>
      </c>
      <c r="E301" s="44" t="s">
        <v>1207</v>
      </c>
      <c r="F301" s="44" t="s">
        <v>1429</v>
      </c>
      <c r="G301" s="44" t="s">
        <v>1430</v>
      </c>
      <c r="I301" s="45">
        <v>44783.54084050926</v>
      </c>
      <c r="J301" s="44" t="s">
        <v>2749</v>
      </c>
      <c r="K301" s="44" t="s">
        <v>3275</v>
      </c>
      <c r="M301" s="44" t="s">
        <v>733</v>
      </c>
      <c r="N301" s="46">
        <f>VLOOKUP(M301,'Spend Export'!$B:$E,4,FALSE)</f>
        <v>12172</v>
      </c>
      <c r="O301" s="44" t="s">
        <v>1429</v>
      </c>
      <c r="P301" s="44" t="s">
        <v>3276</v>
      </c>
      <c r="Q301" s="44" t="s">
        <v>1429</v>
      </c>
      <c r="R301" s="44" t="s">
        <v>20</v>
      </c>
      <c r="S301" s="44" t="s">
        <v>19</v>
      </c>
      <c r="T301" s="44" t="s">
        <v>1708</v>
      </c>
      <c r="U301" s="44" t="s">
        <v>1708</v>
      </c>
      <c r="V301" s="44" t="s">
        <v>3277</v>
      </c>
      <c r="W301" s="44" t="s">
        <v>3278</v>
      </c>
      <c r="X301" s="44" t="s">
        <v>1450</v>
      </c>
      <c r="Y301" s="44" t="s">
        <v>1386</v>
      </c>
      <c r="Z301" s="44" t="s">
        <v>1386</v>
      </c>
      <c r="AE301" s="44" t="s">
        <v>3279</v>
      </c>
      <c r="AI301" s="44" t="s">
        <v>3280</v>
      </c>
      <c r="AK301" s="44" t="s">
        <v>733</v>
      </c>
    </row>
    <row r="302" spans="2:37">
      <c r="B302" s="44" t="s">
        <v>662</v>
      </c>
      <c r="C302" s="44" t="s">
        <v>662</v>
      </c>
      <c r="D302" s="44" t="s">
        <v>1764</v>
      </c>
      <c r="E302" s="44" t="s">
        <v>1617</v>
      </c>
      <c r="F302" s="44" t="s">
        <v>1429</v>
      </c>
      <c r="G302" s="44" t="s">
        <v>1430</v>
      </c>
      <c r="I302" s="45">
        <v>43742.45997384259</v>
      </c>
      <c r="J302" s="44" t="s">
        <v>1785</v>
      </c>
      <c r="K302" s="44" t="s">
        <v>3281</v>
      </c>
      <c r="M302" s="44" t="s">
        <v>663</v>
      </c>
      <c r="N302" s="46">
        <f>VLOOKUP(M302,'Spend Export'!$B:$E,4,FALSE)</f>
        <v>12162.859999999999</v>
      </c>
      <c r="P302" s="44" t="s">
        <v>3282</v>
      </c>
      <c r="Q302" s="44" t="s">
        <v>1429</v>
      </c>
      <c r="R302" s="44" t="s">
        <v>20</v>
      </c>
      <c r="S302" s="44" t="s">
        <v>19</v>
      </c>
      <c r="T302" s="44" t="s">
        <v>1484</v>
      </c>
      <c r="U302" s="44" t="s">
        <v>1484</v>
      </c>
      <c r="V302" s="44" t="s">
        <v>3283</v>
      </c>
      <c r="W302" s="44" t="s">
        <v>3284</v>
      </c>
      <c r="X302" s="44" t="s">
        <v>1450</v>
      </c>
      <c r="Y302" s="44" t="s">
        <v>1429</v>
      </c>
      <c r="Z302" s="44" t="s">
        <v>1429</v>
      </c>
      <c r="AA302" s="44" t="s">
        <v>3285</v>
      </c>
      <c r="AG302" s="44" t="s">
        <v>1785</v>
      </c>
      <c r="AI302" s="44" t="s">
        <v>3286</v>
      </c>
      <c r="AK302" s="44" t="s">
        <v>663</v>
      </c>
    </row>
    <row r="303" spans="2:37">
      <c r="B303" s="44" t="s">
        <v>635</v>
      </c>
      <c r="C303" s="44" t="s">
        <v>635</v>
      </c>
      <c r="D303" s="44" t="s">
        <v>3287</v>
      </c>
      <c r="E303" s="44" t="s">
        <v>3288</v>
      </c>
      <c r="F303" s="44" t="s">
        <v>3289</v>
      </c>
      <c r="G303" s="44" t="s">
        <v>1430</v>
      </c>
      <c r="I303" s="45">
        <v>40323.482863310186</v>
      </c>
      <c r="K303" s="44" t="s">
        <v>3290</v>
      </c>
      <c r="M303" s="44" t="s">
        <v>636</v>
      </c>
      <c r="N303" s="46">
        <f>VLOOKUP(M303,'Spend Export'!$B:$E,4,FALSE)</f>
        <v>12073.529999999999</v>
      </c>
      <c r="O303" s="44" t="s">
        <v>1429</v>
      </c>
      <c r="P303" s="44" t="s">
        <v>1429</v>
      </c>
      <c r="Q303" s="44" t="s">
        <v>1429</v>
      </c>
      <c r="R303" s="44" t="s">
        <v>20</v>
      </c>
      <c r="S303" s="44" t="s">
        <v>19</v>
      </c>
      <c r="T303" s="44" t="s">
        <v>1556</v>
      </c>
      <c r="U303" s="44" t="s">
        <v>1556</v>
      </c>
      <c r="V303" s="44" t="s">
        <v>3291</v>
      </c>
      <c r="W303" s="44" t="s">
        <v>3292</v>
      </c>
      <c r="X303" s="44" t="s">
        <v>1450</v>
      </c>
      <c r="Y303" s="44" t="s">
        <v>1429</v>
      </c>
      <c r="Z303" s="44" t="s">
        <v>1386</v>
      </c>
      <c r="AG303" s="44" t="s">
        <v>3293</v>
      </c>
      <c r="AI303" s="44" t="s">
        <v>3294</v>
      </c>
      <c r="AK303" s="44" t="s">
        <v>636</v>
      </c>
    </row>
    <row r="304" spans="2:37">
      <c r="B304" s="44" t="s">
        <v>804</v>
      </c>
      <c r="C304" s="44" t="s">
        <v>804</v>
      </c>
      <c r="D304" s="44" t="s">
        <v>1428</v>
      </c>
      <c r="E304" s="44" t="s">
        <v>1207</v>
      </c>
      <c r="F304" s="44" t="s">
        <v>3295</v>
      </c>
      <c r="G304" s="44" t="s">
        <v>1430</v>
      </c>
      <c r="I304" s="45">
        <v>41995.54137230324</v>
      </c>
      <c r="K304" s="44" t="s">
        <v>3296</v>
      </c>
      <c r="M304" s="44" t="s">
        <v>805</v>
      </c>
      <c r="N304" s="46">
        <f>VLOOKUP(M304,'Spend Export'!$B:$E,4,FALSE)</f>
        <v>11733.5</v>
      </c>
      <c r="P304" s="44" t="s">
        <v>3297</v>
      </c>
      <c r="Q304" s="44" t="s">
        <v>1429</v>
      </c>
      <c r="R304" s="44" t="s">
        <v>20</v>
      </c>
      <c r="S304" s="44" t="s">
        <v>19</v>
      </c>
      <c r="T304" s="44" t="s">
        <v>1708</v>
      </c>
      <c r="U304" s="44" t="s">
        <v>1708</v>
      </c>
      <c r="V304" s="44" t="s">
        <v>3298</v>
      </c>
      <c r="W304" s="44" t="s">
        <v>3295</v>
      </c>
      <c r="X304" s="44" t="s">
        <v>1461</v>
      </c>
      <c r="Y304" s="44" t="s">
        <v>1429</v>
      </c>
      <c r="Z304" s="44" t="s">
        <v>1429</v>
      </c>
      <c r="AK304" s="44" t="s">
        <v>805</v>
      </c>
    </row>
    <row r="305" spans="1:37">
      <c r="B305" s="44" t="s">
        <v>478</v>
      </c>
      <c r="C305" s="44" t="s">
        <v>478</v>
      </c>
      <c r="D305" s="44" t="s">
        <v>2201</v>
      </c>
      <c r="E305" s="44" t="s">
        <v>1207</v>
      </c>
      <c r="F305" s="44" t="s">
        <v>3299</v>
      </c>
      <c r="G305" s="44" t="s">
        <v>1430</v>
      </c>
      <c r="I305" s="45">
        <v>37918.720321562498</v>
      </c>
      <c r="K305" s="44" t="s">
        <v>3300</v>
      </c>
      <c r="M305" s="44" t="s">
        <v>479</v>
      </c>
      <c r="N305" s="46">
        <f>VLOOKUP(M305,'Spend Export'!$B:$E,4,FALSE)</f>
        <v>11712.900000000001</v>
      </c>
      <c r="P305" s="44" t="s">
        <v>3301</v>
      </c>
      <c r="Q305" s="44" t="s">
        <v>1429</v>
      </c>
      <c r="R305" s="44" t="s">
        <v>20</v>
      </c>
      <c r="S305" s="44" t="s">
        <v>19</v>
      </c>
      <c r="T305" s="44" t="s">
        <v>1502</v>
      </c>
      <c r="U305" s="44" t="s">
        <v>1502</v>
      </c>
      <c r="X305" s="44" t="s">
        <v>1439</v>
      </c>
      <c r="Y305" s="44" t="s">
        <v>1429</v>
      </c>
      <c r="Z305" s="44" t="s">
        <v>1429</v>
      </c>
      <c r="AK305" s="44" t="s">
        <v>479</v>
      </c>
    </row>
    <row r="306" spans="1:37">
      <c r="B306" s="44" t="s">
        <v>826</v>
      </c>
      <c r="C306" s="44" t="s">
        <v>826</v>
      </c>
      <c r="D306" s="44" t="s">
        <v>1428</v>
      </c>
      <c r="E306" s="44" t="s">
        <v>1207</v>
      </c>
      <c r="F306" s="44" t="s">
        <v>1429</v>
      </c>
      <c r="G306" s="44" t="s">
        <v>1430</v>
      </c>
      <c r="I306" s="45">
        <v>44649.443547766205</v>
      </c>
      <c r="J306" s="44" t="s">
        <v>2731</v>
      </c>
      <c r="K306" s="44" t="s">
        <v>3302</v>
      </c>
      <c r="M306" s="44" t="s">
        <v>827</v>
      </c>
      <c r="N306" s="46" t="e">
        <f>VLOOKUP(M306,'Spend Export'!$B:$E,4,FALSE)</f>
        <v>#N/A</v>
      </c>
      <c r="O306" s="44" t="s">
        <v>1429</v>
      </c>
      <c r="P306" s="44" t="s">
        <v>3303</v>
      </c>
      <c r="Q306" s="44" t="s">
        <v>1429</v>
      </c>
      <c r="R306" s="44" t="s">
        <v>20</v>
      </c>
      <c r="S306" s="44" t="s">
        <v>19</v>
      </c>
      <c r="T306" s="44" t="s">
        <v>1458</v>
      </c>
      <c r="U306" s="44" t="s">
        <v>1458</v>
      </c>
      <c r="V306" s="44" t="s">
        <v>3304</v>
      </c>
      <c r="W306" s="44" t="s">
        <v>3305</v>
      </c>
      <c r="X306" s="44" t="s">
        <v>1439</v>
      </c>
      <c r="Y306" s="44" t="s">
        <v>1429</v>
      </c>
      <c r="Z306" s="44" t="s">
        <v>1386</v>
      </c>
      <c r="AG306" s="44" t="s">
        <v>2731</v>
      </c>
      <c r="AI306" s="44" t="s">
        <v>3306</v>
      </c>
      <c r="AK306" s="44" t="s">
        <v>827</v>
      </c>
    </row>
    <row r="307" spans="1:37">
      <c r="B307" s="44" t="s">
        <v>542</v>
      </c>
      <c r="C307" s="44" t="s">
        <v>542</v>
      </c>
      <c r="D307" s="44" t="s">
        <v>2201</v>
      </c>
      <c r="E307" s="44" t="s">
        <v>1207</v>
      </c>
      <c r="F307" s="44" t="s">
        <v>3307</v>
      </c>
      <c r="G307" s="44" t="s">
        <v>1430</v>
      </c>
      <c r="I307" s="45">
        <v>37918.752956400465</v>
      </c>
      <c r="K307" s="44" t="s">
        <v>3308</v>
      </c>
      <c r="L307" s="44" t="s">
        <v>3309</v>
      </c>
      <c r="M307" s="44" t="s">
        <v>543</v>
      </c>
      <c r="N307" s="46">
        <f>VLOOKUP(M307,'Spend Export'!$B:$E,4,FALSE)</f>
        <v>11246.48</v>
      </c>
      <c r="P307" s="44" t="s">
        <v>3310</v>
      </c>
      <c r="Q307" s="44" t="s">
        <v>1429</v>
      </c>
      <c r="R307" s="44" t="s">
        <v>19</v>
      </c>
      <c r="S307" s="44" t="s">
        <v>19</v>
      </c>
      <c r="T307" s="44" t="s">
        <v>1708</v>
      </c>
      <c r="U307" s="44" t="s">
        <v>1708</v>
      </c>
      <c r="X307" s="44" t="s">
        <v>1584</v>
      </c>
      <c r="Y307" s="44" t="s">
        <v>1429</v>
      </c>
      <c r="Z307" s="44" t="s">
        <v>1386</v>
      </c>
      <c r="AE307" s="44" t="s">
        <v>1834</v>
      </c>
      <c r="AK307" s="44" t="s">
        <v>543</v>
      </c>
    </row>
    <row r="308" spans="1:37">
      <c r="B308" s="44" t="s">
        <v>670</v>
      </c>
      <c r="C308" s="44" t="s">
        <v>670</v>
      </c>
      <c r="D308" s="44" t="s">
        <v>1651</v>
      </c>
      <c r="E308" s="44" t="s">
        <v>1652</v>
      </c>
      <c r="F308" s="44" t="s">
        <v>1429</v>
      </c>
      <c r="G308" s="44" t="s">
        <v>1430</v>
      </c>
      <c r="I308" s="45">
        <v>44585.532136886577</v>
      </c>
      <c r="J308" s="44" t="s">
        <v>2731</v>
      </c>
      <c r="K308" s="44" t="s">
        <v>3311</v>
      </c>
      <c r="M308" s="44" t="s">
        <v>671</v>
      </c>
      <c r="N308" s="46" t="e">
        <f>VLOOKUP(M308,'Spend Export'!$B:$E,4,FALSE)</f>
        <v>#N/A</v>
      </c>
      <c r="O308" s="44" t="s">
        <v>1429</v>
      </c>
      <c r="P308" s="44" t="s">
        <v>3312</v>
      </c>
      <c r="Q308" s="44" t="s">
        <v>1429</v>
      </c>
      <c r="R308" s="44" t="s">
        <v>20</v>
      </c>
      <c r="S308" s="44" t="s">
        <v>19</v>
      </c>
      <c r="T308" s="44" t="s">
        <v>1458</v>
      </c>
      <c r="U308" s="44" t="s">
        <v>1458</v>
      </c>
      <c r="V308" s="44" t="s">
        <v>3313</v>
      </c>
      <c r="W308" s="44" t="s">
        <v>3314</v>
      </c>
      <c r="X308" s="44" t="s">
        <v>1450</v>
      </c>
      <c r="Y308" s="44" t="s">
        <v>1429</v>
      </c>
      <c r="Z308" s="44" t="s">
        <v>1386</v>
      </c>
      <c r="AG308" s="44" t="s">
        <v>3315</v>
      </c>
      <c r="AI308" s="44" t="s">
        <v>3316</v>
      </c>
      <c r="AK308" s="44" t="s">
        <v>671</v>
      </c>
    </row>
    <row r="309" spans="1:37">
      <c r="B309" s="44" t="s">
        <v>476</v>
      </c>
      <c r="C309" s="44" t="s">
        <v>476</v>
      </c>
      <c r="D309" s="44" t="s">
        <v>1466</v>
      </c>
      <c r="E309" s="44" t="s">
        <v>1207</v>
      </c>
      <c r="F309" s="44" t="s">
        <v>1429</v>
      </c>
      <c r="G309" s="44" t="s">
        <v>1430</v>
      </c>
      <c r="I309" s="45">
        <v>37918.757342048608</v>
      </c>
      <c r="K309" s="44" t="s">
        <v>3317</v>
      </c>
      <c r="M309" s="44" t="s">
        <v>477</v>
      </c>
      <c r="N309" s="46">
        <f>VLOOKUP(M309,'Spend Export'!$B:$E,4,FALSE)</f>
        <v>11146</v>
      </c>
      <c r="P309" s="44" t="s">
        <v>3318</v>
      </c>
      <c r="Q309" s="44" t="s">
        <v>1429</v>
      </c>
      <c r="R309" s="44" t="s">
        <v>20</v>
      </c>
      <c r="S309" s="44" t="s">
        <v>19</v>
      </c>
      <c r="T309" s="44" t="s">
        <v>1502</v>
      </c>
      <c r="U309" s="44" t="s">
        <v>1502</v>
      </c>
      <c r="X309" s="44" t="s">
        <v>1439</v>
      </c>
      <c r="Y309" s="44" t="s">
        <v>1429</v>
      </c>
      <c r="Z309" s="44" t="s">
        <v>1429</v>
      </c>
      <c r="AA309" s="44" t="s">
        <v>2498</v>
      </c>
      <c r="AK309" s="44" t="s">
        <v>477</v>
      </c>
    </row>
    <row r="310" spans="1:37">
      <c r="B310" s="44" t="s">
        <v>213</v>
      </c>
      <c r="C310" s="44" t="s">
        <v>3319</v>
      </c>
      <c r="D310" s="44" t="s">
        <v>1466</v>
      </c>
      <c r="E310" s="44" t="s">
        <v>1207</v>
      </c>
      <c r="F310" s="44" t="s">
        <v>1429</v>
      </c>
      <c r="G310" s="44" t="s">
        <v>1430</v>
      </c>
      <c r="I310" s="45">
        <v>39794.609066053243</v>
      </c>
      <c r="K310" s="44" t="s">
        <v>1778</v>
      </c>
      <c r="L310" s="44" t="s">
        <v>1779</v>
      </c>
      <c r="M310" s="44" t="s">
        <v>645</v>
      </c>
      <c r="N310" s="46">
        <f>VLOOKUP(M310,'Spend Export'!$B:$E,4,FALSE)</f>
        <v>11002.2</v>
      </c>
      <c r="P310" s="44" t="s">
        <v>1780</v>
      </c>
      <c r="Q310" s="44" t="s">
        <v>1429</v>
      </c>
      <c r="R310" s="44" t="s">
        <v>20</v>
      </c>
      <c r="S310" s="44" t="s">
        <v>20</v>
      </c>
      <c r="T310" s="44" t="s">
        <v>1708</v>
      </c>
      <c r="U310" s="44" t="s">
        <v>1708</v>
      </c>
      <c r="Y310" s="44" t="s">
        <v>1429</v>
      </c>
      <c r="Z310" s="44" t="s">
        <v>1429</v>
      </c>
      <c r="AK310" s="44" t="s">
        <v>645</v>
      </c>
    </row>
    <row r="311" spans="1:37">
      <c r="B311" s="44" t="s">
        <v>406</v>
      </c>
      <c r="C311" s="44" t="s">
        <v>406</v>
      </c>
      <c r="D311" s="44" t="s">
        <v>1651</v>
      </c>
      <c r="E311" s="44" t="s">
        <v>1652</v>
      </c>
      <c r="F311" s="44" t="s">
        <v>3320</v>
      </c>
      <c r="G311" s="44" t="s">
        <v>1430</v>
      </c>
      <c r="I311" s="45">
        <v>40197.405193553241</v>
      </c>
      <c r="K311" s="44" t="s">
        <v>3321</v>
      </c>
      <c r="M311" s="44" t="s">
        <v>407</v>
      </c>
      <c r="N311" s="46">
        <f>VLOOKUP(M311,'Spend Export'!$B:$E,4,FALSE)</f>
        <v>10908.420000000002</v>
      </c>
      <c r="P311" s="44" t="s">
        <v>3322</v>
      </c>
      <c r="Q311" s="44" t="s">
        <v>1429</v>
      </c>
      <c r="R311" s="44" t="s">
        <v>20</v>
      </c>
      <c r="S311" s="44" t="s">
        <v>19</v>
      </c>
      <c r="T311" s="44" t="s">
        <v>1519</v>
      </c>
      <c r="U311" s="44" t="s">
        <v>1519</v>
      </c>
      <c r="V311" s="44" t="s">
        <v>3323</v>
      </c>
      <c r="W311" s="44" t="s">
        <v>3324</v>
      </c>
      <c r="X311" s="44" t="s">
        <v>1439</v>
      </c>
      <c r="Y311" s="44" t="s">
        <v>1386</v>
      </c>
      <c r="Z311" s="44" t="s">
        <v>1429</v>
      </c>
      <c r="AK311" s="44" t="s">
        <v>407</v>
      </c>
    </row>
    <row r="312" spans="1:37">
      <c r="B312" s="44" t="s">
        <v>286</v>
      </c>
      <c r="C312" s="44" t="s">
        <v>286</v>
      </c>
      <c r="D312" s="44" t="s">
        <v>1443</v>
      </c>
      <c r="E312" s="44" t="s">
        <v>1207</v>
      </c>
      <c r="F312" s="44" t="s">
        <v>3325</v>
      </c>
      <c r="G312" s="44" t="s">
        <v>1430</v>
      </c>
      <c r="I312" s="45">
        <v>41922.517466400466</v>
      </c>
      <c r="K312" s="44" t="s">
        <v>3326</v>
      </c>
      <c r="M312" s="44" t="s">
        <v>287</v>
      </c>
      <c r="N312" s="46">
        <f>VLOOKUP(M312,'Spend Export'!$B:$E,4,FALSE)</f>
        <v>10751.26</v>
      </c>
      <c r="P312" s="44" t="s">
        <v>3327</v>
      </c>
      <c r="Q312" s="44" t="s">
        <v>1429</v>
      </c>
      <c r="R312" s="44" t="s">
        <v>20</v>
      </c>
      <c r="S312" s="44" t="s">
        <v>19</v>
      </c>
      <c r="T312" s="44" t="s">
        <v>1502</v>
      </c>
      <c r="U312" s="44" t="s">
        <v>1502</v>
      </c>
      <c r="X312" s="44" t="s">
        <v>1461</v>
      </c>
      <c r="Y312" s="44" t="s">
        <v>1429</v>
      </c>
      <c r="Z312" s="44" t="s">
        <v>1429</v>
      </c>
      <c r="AK312" s="44" t="s">
        <v>287</v>
      </c>
    </row>
    <row r="313" spans="1:37">
      <c r="B313" s="44" t="s">
        <v>3328</v>
      </c>
      <c r="C313" s="44" t="s">
        <v>3328</v>
      </c>
      <c r="D313" s="44" t="s">
        <v>3329</v>
      </c>
      <c r="E313" s="44" t="s">
        <v>1652</v>
      </c>
      <c r="F313" s="44" t="s">
        <v>3330</v>
      </c>
      <c r="G313" s="44" t="s">
        <v>1430</v>
      </c>
      <c r="I313" s="45">
        <v>43243.686845949072</v>
      </c>
      <c r="J313" s="44" t="s">
        <v>3331</v>
      </c>
      <c r="K313" s="44" t="s">
        <v>3332</v>
      </c>
      <c r="M313" s="44" t="s">
        <v>807</v>
      </c>
      <c r="N313" s="46">
        <f>VLOOKUP(M313,'Spend Export'!$B:$E,4,FALSE)</f>
        <v>10500</v>
      </c>
      <c r="P313" s="44" t="s">
        <v>3333</v>
      </c>
      <c r="Q313" s="44" t="s">
        <v>1429</v>
      </c>
      <c r="R313" s="44" t="s">
        <v>20</v>
      </c>
      <c r="S313" s="44" t="s">
        <v>19</v>
      </c>
      <c r="T313" s="44" t="s">
        <v>1519</v>
      </c>
      <c r="U313" s="44" t="s">
        <v>1519</v>
      </c>
      <c r="V313" s="44" t="s">
        <v>3334</v>
      </c>
      <c r="W313" s="44" t="s">
        <v>3335</v>
      </c>
      <c r="X313" s="44" t="s">
        <v>1461</v>
      </c>
      <c r="Y313" s="44" t="s">
        <v>1386</v>
      </c>
      <c r="Z313" s="44" t="s">
        <v>1429</v>
      </c>
      <c r="AH313" s="44" t="s">
        <v>3331</v>
      </c>
      <c r="AI313" s="44" t="s">
        <v>3336</v>
      </c>
      <c r="AK313" s="44" t="s">
        <v>807</v>
      </c>
    </row>
    <row r="314" spans="1:37">
      <c r="B314" s="44" t="s">
        <v>3337</v>
      </c>
      <c r="C314" s="44" t="s">
        <v>3337</v>
      </c>
      <c r="D314" s="44" t="s">
        <v>3338</v>
      </c>
      <c r="E314" s="44" t="s">
        <v>1207</v>
      </c>
      <c r="F314" s="44" t="s">
        <v>3339</v>
      </c>
      <c r="G314" s="44" t="s">
        <v>1430</v>
      </c>
      <c r="I314" s="45">
        <v>42136.565058483793</v>
      </c>
      <c r="K314" s="44" t="s">
        <v>3340</v>
      </c>
      <c r="M314" s="44" t="s">
        <v>577</v>
      </c>
      <c r="N314" s="46">
        <f>VLOOKUP(M314,'Spend Export'!$B:$E,4,FALSE)</f>
        <v>10447.799999999999</v>
      </c>
      <c r="P314" s="44" t="s">
        <v>3341</v>
      </c>
      <c r="Q314" s="44" t="s">
        <v>1429</v>
      </c>
      <c r="R314" s="44" t="s">
        <v>19</v>
      </c>
      <c r="S314" s="44" t="s">
        <v>19</v>
      </c>
      <c r="T314" s="44" t="s">
        <v>1502</v>
      </c>
      <c r="U314" s="44" t="s">
        <v>1502</v>
      </c>
      <c r="V314" s="44" t="s">
        <v>3342</v>
      </c>
      <c r="W314" s="44" t="s">
        <v>3343</v>
      </c>
      <c r="X314" s="44" t="s">
        <v>1439</v>
      </c>
      <c r="Y314" s="44" t="s">
        <v>1386</v>
      </c>
      <c r="Z314" s="44" t="s">
        <v>1429</v>
      </c>
      <c r="AK314" s="44" t="s">
        <v>577</v>
      </c>
    </row>
    <row r="315" spans="1:37">
      <c r="B315" s="44" t="s">
        <v>1184</v>
      </c>
      <c r="C315" s="44" t="s">
        <v>1184</v>
      </c>
      <c r="D315" s="44" t="s">
        <v>3344</v>
      </c>
      <c r="E315" s="44" t="s">
        <v>1617</v>
      </c>
      <c r="F315" s="44" t="s">
        <v>1429</v>
      </c>
      <c r="G315" s="44" t="s">
        <v>1430</v>
      </c>
      <c r="I315" s="45">
        <v>44789.521391319446</v>
      </c>
      <c r="J315" s="44" t="s">
        <v>3345</v>
      </c>
      <c r="K315" s="44" t="s">
        <v>3346</v>
      </c>
      <c r="M315" s="44" t="s">
        <v>1185</v>
      </c>
      <c r="N315" s="46">
        <f>VLOOKUP(M315,'Spend Export'!$B:$E,4,FALSE)</f>
        <v>10433.68</v>
      </c>
      <c r="O315" s="44" t="s">
        <v>1429</v>
      </c>
      <c r="P315" s="44" t="s">
        <v>3347</v>
      </c>
      <c r="Q315" s="44" t="s">
        <v>1429</v>
      </c>
      <c r="R315" s="44" t="s">
        <v>20</v>
      </c>
      <c r="S315" s="44" t="s">
        <v>19</v>
      </c>
      <c r="T315" s="44" t="s">
        <v>1484</v>
      </c>
      <c r="U315" s="44" t="s">
        <v>1484</v>
      </c>
      <c r="V315" s="44" t="s">
        <v>3348</v>
      </c>
      <c r="W315" s="44" t="s">
        <v>3349</v>
      </c>
      <c r="X315" s="44" t="s">
        <v>1450</v>
      </c>
      <c r="Y315" s="44" t="s">
        <v>1429</v>
      </c>
      <c r="Z315" s="44" t="s">
        <v>1429</v>
      </c>
      <c r="AG315" s="44" t="s">
        <v>3350</v>
      </c>
      <c r="AI315" s="44" t="s">
        <v>3351</v>
      </c>
      <c r="AK315" s="44" t="s">
        <v>1185</v>
      </c>
    </row>
    <row r="316" spans="1:37">
      <c r="A316" s="44" t="s">
        <v>3352</v>
      </c>
      <c r="B316" s="44" t="s">
        <v>916</v>
      </c>
      <c r="C316" s="44" t="s">
        <v>916</v>
      </c>
      <c r="D316" s="44" t="s">
        <v>1764</v>
      </c>
      <c r="E316" s="44" t="s">
        <v>1617</v>
      </c>
      <c r="F316" s="44" t="s">
        <v>1429</v>
      </c>
      <c r="G316" s="44" t="s">
        <v>1430</v>
      </c>
      <c r="I316" s="45">
        <v>43838.598131944447</v>
      </c>
      <c r="J316" s="44" t="s">
        <v>3353</v>
      </c>
      <c r="K316" s="44" t="s">
        <v>3354</v>
      </c>
      <c r="M316" s="44" t="s">
        <v>917</v>
      </c>
      <c r="N316" s="46" t="e">
        <f>VLOOKUP(M316,'Spend Export'!$B:$E,4,FALSE)</f>
        <v>#N/A</v>
      </c>
      <c r="P316" s="44" t="s">
        <v>3355</v>
      </c>
      <c r="Q316" s="44" t="s">
        <v>1429</v>
      </c>
      <c r="R316" s="44" t="s">
        <v>20</v>
      </c>
      <c r="S316" s="44" t="s">
        <v>19</v>
      </c>
      <c r="T316" s="44" t="s">
        <v>1458</v>
      </c>
      <c r="U316" s="44" t="s">
        <v>1458</v>
      </c>
      <c r="V316" s="44" t="s">
        <v>3356</v>
      </c>
      <c r="W316" s="44" t="s">
        <v>3357</v>
      </c>
      <c r="X316" s="44" t="s">
        <v>1461</v>
      </c>
      <c r="Y316" s="44" t="s">
        <v>1429</v>
      </c>
      <c r="Z316" s="44" t="s">
        <v>1386</v>
      </c>
      <c r="AI316" s="44" t="s">
        <v>3358</v>
      </c>
      <c r="AK316" s="44" t="s">
        <v>917</v>
      </c>
    </row>
    <row r="317" spans="1:37">
      <c r="B317" s="44" t="s">
        <v>242</v>
      </c>
      <c r="C317" s="44" t="s">
        <v>242</v>
      </c>
      <c r="D317" s="44" t="s">
        <v>1562</v>
      </c>
      <c r="E317" s="44" t="s">
        <v>1207</v>
      </c>
      <c r="F317" s="44" t="s">
        <v>1429</v>
      </c>
      <c r="G317" s="44" t="s">
        <v>1430</v>
      </c>
      <c r="I317" s="45">
        <v>44664.51597615741</v>
      </c>
      <c r="J317" s="44" t="s">
        <v>1756</v>
      </c>
      <c r="K317" s="44" t="s">
        <v>3359</v>
      </c>
      <c r="M317" s="44" t="s">
        <v>243</v>
      </c>
      <c r="N317" s="46" t="e">
        <f>VLOOKUP(M317,'Spend Export'!$B:$E,4,FALSE)</f>
        <v>#N/A</v>
      </c>
      <c r="O317" s="44" t="s">
        <v>1429</v>
      </c>
      <c r="P317" s="44" t="s">
        <v>3360</v>
      </c>
      <c r="Q317" s="44" t="s">
        <v>1429</v>
      </c>
      <c r="R317" s="44" t="s">
        <v>20</v>
      </c>
      <c r="S317" s="44" t="s">
        <v>19</v>
      </c>
      <c r="T317" s="44" t="s">
        <v>1458</v>
      </c>
      <c r="U317" s="44" t="s">
        <v>1458</v>
      </c>
      <c r="V317" s="44" t="s">
        <v>3361</v>
      </c>
      <c r="W317" s="44" t="s">
        <v>3362</v>
      </c>
      <c r="X317" s="44" t="s">
        <v>1461</v>
      </c>
      <c r="Y317" s="44" t="s">
        <v>1429</v>
      </c>
      <c r="Z317" s="44" t="s">
        <v>1429</v>
      </c>
      <c r="AA317" s="44" t="s">
        <v>1761</v>
      </c>
      <c r="AI317" s="44" t="s">
        <v>3363</v>
      </c>
      <c r="AK317" s="44" t="s">
        <v>243</v>
      </c>
    </row>
    <row r="318" spans="1:37">
      <c r="B318" s="44" t="s">
        <v>558</v>
      </c>
      <c r="C318" s="44" t="s">
        <v>558</v>
      </c>
      <c r="D318" s="44" t="s">
        <v>3364</v>
      </c>
      <c r="E318" s="44" t="s">
        <v>1910</v>
      </c>
      <c r="F318" s="44" t="s">
        <v>1429</v>
      </c>
      <c r="G318" s="44" t="s">
        <v>1430</v>
      </c>
      <c r="I318" s="45">
        <v>44439.461797719909</v>
      </c>
      <c r="J318" s="44" t="s">
        <v>3123</v>
      </c>
      <c r="K318" s="44" t="s">
        <v>3365</v>
      </c>
      <c r="M318" s="44" t="s">
        <v>559</v>
      </c>
      <c r="N318" s="46">
        <f>VLOOKUP(M318,'Spend Export'!$B:$E,4,FALSE)</f>
        <v>10347.299999999999</v>
      </c>
      <c r="O318" s="44" t="s">
        <v>1429</v>
      </c>
      <c r="P318" s="44" t="s">
        <v>3366</v>
      </c>
      <c r="Q318" s="44" t="s">
        <v>1429</v>
      </c>
      <c r="R318" s="44" t="s">
        <v>20</v>
      </c>
      <c r="S318" s="44" t="s">
        <v>19</v>
      </c>
      <c r="T318" s="44" t="s">
        <v>1484</v>
      </c>
      <c r="U318" s="44" t="s">
        <v>1484</v>
      </c>
      <c r="V318" s="44" t="s">
        <v>3367</v>
      </c>
      <c r="W318" s="44" t="s">
        <v>3368</v>
      </c>
      <c r="X318" s="44" t="s">
        <v>2775</v>
      </c>
      <c r="Y318" s="44" t="s">
        <v>1386</v>
      </c>
      <c r="Z318" s="44" t="s">
        <v>1429</v>
      </c>
      <c r="AG318" s="44" t="s">
        <v>3369</v>
      </c>
      <c r="AI318" s="44" t="s">
        <v>3370</v>
      </c>
      <c r="AK318" s="44" t="s">
        <v>3371</v>
      </c>
    </row>
    <row r="319" spans="1:37">
      <c r="B319" s="44" t="s">
        <v>1066</v>
      </c>
      <c r="C319" s="44" t="s">
        <v>3372</v>
      </c>
      <c r="D319" s="44" t="s">
        <v>3024</v>
      </c>
      <c r="E319" s="44" t="s">
        <v>1572</v>
      </c>
      <c r="F319" s="44" t="s">
        <v>1429</v>
      </c>
      <c r="G319" s="44" t="s">
        <v>1430</v>
      </c>
      <c r="I319" s="45">
        <v>37918.742909872686</v>
      </c>
      <c r="K319" s="44" t="s">
        <v>3373</v>
      </c>
      <c r="M319" s="44" t="s">
        <v>1067</v>
      </c>
      <c r="N319" s="46">
        <f>VLOOKUP(M319,'Spend Export'!$B:$E,4,FALSE)</f>
        <v>10204.08</v>
      </c>
      <c r="O319" s="44" t="s">
        <v>1429</v>
      </c>
      <c r="P319" s="44" t="s">
        <v>1429</v>
      </c>
      <c r="Q319" s="44" t="s">
        <v>1429</v>
      </c>
      <c r="R319" s="44" t="s">
        <v>20</v>
      </c>
      <c r="S319" s="44" t="s">
        <v>19</v>
      </c>
      <c r="T319" s="44" t="s">
        <v>1502</v>
      </c>
      <c r="U319" s="44" t="s">
        <v>1502</v>
      </c>
      <c r="X319" s="44" t="s">
        <v>1450</v>
      </c>
      <c r="Y319" s="44" t="s">
        <v>1429</v>
      </c>
      <c r="Z319" s="44" t="s">
        <v>1429</v>
      </c>
      <c r="AA319" s="44" t="s">
        <v>3374</v>
      </c>
      <c r="AK319" s="44" t="s">
        <v>1067</v>
      </c>
    </row>
    <row r="320" spans="1:37">
      <c r="B320" s="44" t="s">
        <v>867</v>
      </c>
      <c r="C320" s="44" t="s">
        <v>867</v>
      </c>
      <c r="D320" s="44" t="s">
        <v>3375</v>
      </c>
      <c r="E320" s="44" t="s">
        <v>1682</v>
      </c>
      <c r="F320" s="44" t="s">
        <v>3376</v>
      </c>
      <c r="G320" s="44" t="s">
        <v>1430</v>
      </c>
      <c r="I320" s="45">
        <v>43754.261964004632</v>
      </c>
      <c r="J320" s="44" t="s">
        <v>2901</v>
      </c>
      <c r="K320" s="44" t="s">
        <v>3377</v>
      </c>
      <c r="M320" s="44" t="s">
        <v>868</v>
      </c>
      <c r="N320" s="46">
        <f>VLOOKUP(M320,'Spend Export'!$B:$E,4,FALSE)</f>
        <v>10100</v>
      </c>
      <c r="P320" s="44" t="s">
        <v>3378</v>
      </c>
      <c r="Q320" s="44" t="s">
        <v>1429</v>
      </c>
      <c r="R320" s="44" t="s">
        <v>20</v>
      </c>
      <c r="S320" s="44" t="s">
        <v>19</v>
      </c>
      <c r="T320" s="44" t="s">
        <v>1484</v>
      </c>
      <c r="U320" s="44" t="s">
        <v>1484</v>
      </c>
      <c r="V320" s="44" t="s">
        <v>3379</v>
      </c>
      <c r="W320" s="44" t="s">
        <v>3380</v>
      </c>
      <c r="X320" s="44" t="s">
        <v>1461</v>
      </c>
      <c r="Y320" s="44" t="s">
        <v>1429</v>
      </c>
      <c r="Z320" s="44" t="s">
        <v>1429</v>
      </c>
      <c r="AI320" s="44" t="s">
        <v>3381</v>
      </c>
      <c r="AK320" s="44" t="s">
        <v>868</v>
      </c>
    </row>
    <row r="321" spans="1:37">
      <c r="B321" s="44" t="s">
        <v>792</v>
      </c>
      <c r="C321" s="44" t="s">
        <v>792</v>
      </c>
      <c r="D321" s="44" t="s">
        <v>1651</v>
      </c>
      <c r="E321" s="44" t="s">
        <v>1652</v>
      </c>
      <c r="F321" s="44" t="s">
        <v>1429</v>
      </c>
      <c r="G321" s="44" t="s">
        <v>1430</v>
      </c>
      <c r="I321" s="45">
        <v>45049.705370798612</v>
      </c>
      <c r="J321" s="44" t="s">
        <v>1785</v>
      </c>
      <c r="K321" s="44" t="s">
        <v>3382</v>
      </c>
      <c r="M321" s="44" t="s">
        <v>793</v>
      </c>
      <c r="N321" s="46">
        <f>VLOOKUP(M321,'Spend Export'!$B:$E,4,FALSE)</f>
        <v>10050</v>
      </c>
      <c r="O321" s="44" t="s">
        <v>1429</v>
      </c>
      <c r="P321" s="44" t="s">
        <v>3383</v>
      </c>
      <c r="Q321" s="44" t="s">
        <v>1429</v>
      </c>
      <c r="R321" s="44" t="s">
        <v>20</v>
      </c>
      <c r="S321" s="44" t="s">
        <v>19</v>
      </c>
      <c r="T321" s="44" t="s">
        <v>1484</v>
      </c>
      <c r="U321" s="44" t="s">
        <v>1484</v>
      </c>
      <c r="V321" s="44" t="s">
        <v>3384</v>
      </c>
      <c r="W321" s="44" t="s">
        <v>3385</v>
      </c>
      <c r="X321" s="44" t="s">
        <v>1461</v>
      </c>
      <c r="Y321" s="44" t="s">
        <v>1386</v>
      </c>
      <c r="Z321" s="44" t="s">
        <v>1429</v>
      </c>
      <c r="AI321" s="44" t="s">
        <v>3386</v>
      </c>
      <c r="AK321" s="44" t="s">
        <v>793</v>
      </c>
    </row>
    <row r="322" spans="1:37">
      <c r="B322" s="44" t="s">
        <v>3387</v>
      </c>
      <c r="C322" s="44" t="s">
        <v>3387</v>
      </c>
      <c r="D322" s="44" t="s">
        <v>3388</v>
      </c>
      <c r="E322" s="44" t="s">
        <v>1476</v>
      </c>
      <c r="F322" s="44" t="s">
        <v>1429</v>
      </c>
      <c r="G322" s="44" t="s">
        <v>1430</v>
      </c>
      <c r="I322" s="45">
        <v>44900.509267858797</v>
      </c>
      <c r="J322" s="44" t="s">
        <v>3389</v>
      </c>
      <c r="K322" s="44" t="s">
        <v>3390</v>
      </c>
      <c r="M322" s="44" t="s">
        <v>667</v>
      </c>
      <c r="N322" s="46">
        <f>VLOOKUP(M322,'Spend Export'!$B:$E,4,FALSE)</f>
        <v>10024</v>
      </c>
      <c r="O322" s="44" t="s">
        <v>1429</v>
      </c>
      <c r="P322" s="44" t="s">
        <v>1429</v>
      </c>
      <c r="Q322" s="44" t="s">
        <v>1429</v>
      </c>
      <c r="R322" s="44" t="s">
        <v>20</v>
      </c>
      <c r="S322" s="44" t="s">
        <v>19</v>
      </c>
      <c r="T322" s="44" t="s">
        <v>1484</v>
      </c>
      <c r="U322" s="44" t="s">
        <v>1484</v>
      </c>
      <c r="V322" s="44" t="s">
        <v>3391</v>
      </c>
      <c r="W322" s="44" t="s">
        <v>3392</v>
      </c>
      <c r="X322" s="44" t="s">
        <v>1461</v>
      </c>
      <c r="Y322" s="44" t="s">
        <v>1429</v>
      </c>
      <c r="Z322" s="44" t="s">
        <v>1429</v>
      </c>
      <c r="AA322" s="44" t="s">
        <v>3393</v>
      </c>
      <c r="AG322" s="44" t="s">
        <v>3389</v>
      </c>
      <c r="AI322" s="44" t="s">
        <v>3394</v>
      </c>
      <c r="AK322" s="44" t="s">
        <v>667</v>
      </c>
    </row>
    <row r="323" spans="1:37">
      <c r="B323" s="44" t="s">
        <v>601</v>
      </c>
      <c r="C323" s="44" t="s">
        <v>601</v>
      </c>
      <c r="D323" s="44" t="s">
        <v>2912</v>
      </c>
      <c r="E323" s="44" t="s">
        <v>1207</v>
      </c>
      <c r="F323" s="44" t="s">
        <v>1429</v>
      </c>
      <c r="G323" s="44" t="s">
        <v>1430</v>
      </c>
      <c r="I323" s="45">
        <v>45022.53011994213</v>
      </c>
      <c r="J323" s="44" t="s">
        <v>3395</v>
      </c>
      <c r="K323" s="44" t="s">
        <v>3396</v>
      </c>
      <c r="M323" s="44" t="s">
        <v>602</v>
      </c>
      <c r="N323" s="46">
        <f>VLOOKUP(M323,'Spend Export'!$B:$E,4,FALSE)</f>
        <v>10000</v>
      </c>
      <c r="O323" s="44" t="s">
        <v>1429</v>
      </c>
      <c r="P323" s="44" t="s">
        <v>3397</v>
      </c>
      <c r="Q323" s="44" t="s">
        <v>1429</v>
      </c>
      <c r="R323" s="44" t="s">
        <v>20</v>
      </c>
      <c r="S323" s="44" t="s">
        <v>20</v>
      </c>
      <c r="T323" s="44" t="s">
        <v>1502</v>
      </c>
      <c r="U323" s="44" t="s">
        <v>1502</v>
      </c>
      <c r="V323" s="44" t="s">
        <v>3398</v>
      </c>
      <c r="W323" s="44" t="s">
        <v>3399</v>
      </c>
      <c r="X323" s="44" t="s">
        <v>1461</v>
      </c>
      <c r="Y323" s="44" t="s">
        <v>1386</v>
      </c>
      <c r="Z323" s="44" t="s">
        <v>1386</v>
      </c>
      <c r="AI323" s="44" t="s">
        <v>3400</v>
      </c>
      <c r="AK323" s="44" t="s">
        <v>602</v>
      </c>
    </row>
    <row r="324" spans="1:37">
      <c r="B324" s="44" t="s">
        <v>978</v>
      </c>
      <c r="C324" s="44" t="s">
        <v>978</v>
      </c>
      <c r="D324" s="44" t="s">
        <v>3401</v>
      </c>
      <c r="E324" s="44" t="s">
        <v>1207</v>
      </c>
      <c r="F324" s="44" t="s">
        <v>1429</v>
      </c>
      <c r="G324" s="44" t="s">
        <v>1430</v>
      </c>
      <c r="I324" s="45">
        <v>40968.634409606479</v>
      </c>
      <c r="J324" s="44" t="s">
        <v>3402</v>
      </c>
      <c r="K324" s="44" t="s">
        <v>3403</v>
      </c>
      <c r="M324" s="44" t="s">
        <v>979</v>
      </c>
      <c r="N324" s="46">
        <f>VLOOKUP(M324,'Spend Export'!$B:$E,4,FALSE)</f>
        <v>10000</v>
      </c>
      <c r="O324" s="44" t="s">
        <v>1429</v>
      </c>
      <c r="P324" s="44" t="s">
        <v>3404</v>
      </c>
      <c r="Q324" s="44" t="s">
        <v>1429</v>
      </c>
      <c r="R324" s="44" t="s">
        <v>20</v>
      </c>
      <c r="S324" s="44" t="s">
        <v>19</v>
      </c>
      <c r="T324" s="44" t="s">
        <v>1708</v>
      </c>
      <c r="U324" s="44" t="s">
        <v>1708</v>
      </c>
      <c r="V324" s="44" t="s">
        <v>3405</v>
      </c>
      <c r="W324" s="44" t="s">
        <v>3406</v>
      </c>
      <c r="X324" s="44" t="s">
        <v>1450</v>
      </c>
      <c r="Y324" s="44" t="s">
        <v>1429</v>
      </c>
      <c r="Z324" s="44" t="s">
        <v>1386</v>
      </c>
      <c r="AI324" s="44" t="s">
        <v>3407</v>
      </c>
      <c r="AK324" s="44" t="s">
        <v>979</v>
      </c>
    </row>
    <row r="325" spans="1:37">
      <c r="B325" s="44" t="s">
        <v>643</v>
      </c>
      <c r="C325" s="44" t="s">
        <v>643</v>
      </c>
      <c r="D325" s="44" t="s">
        <v>3408</v>
      </c>
      <c r="E325" s="44" t="s">
        <v>1682</v>
      </c>
      <c r="F325" s="44" t="s">
        <v>3409</v>
      </c>
      <c r="G325" s="44" t="s">
        <v>1430</v>
      </c>
      <c r="I325" s="45">
        <v>42429.583711307867</v>
      </c>
      <c r="K325" s="44" t="s">
        <v>3410</v>
      </c>
      <c r="M325" s="44" t="s">
        <v>644</v>
      </c>
      <c r="N325" s="46">
        <f>VLOOKUP(M325,'Spend Export'!$B:$E,4,FALSE)</f>
        <v>9702.5</v>
      </c>
      <c r="O325" s="44" t="s">
        <v>1429</v>
      </c>
      <c r="P325" s="44" t="s">
        <v>3411</v>
      </c>
      <c r="Q325" s="44" t="s">
        <v>1429</v>
      </c>
      <c r="R325" s="44" t="s">
        <v>19</v>
      </c>
      <c r="S325" s="44" t="s">
        <v>19</v>
      </c>
      <c r="T325" s="44" t="s">
        <v>1708</v>
      </c>
      <c r="U325" s="44" t="s">
        <v>1708</v>
      </c>
      <c r="X325" s="44" t="s">
        <v>1461</v>
      </c>
      <c r="Y325" s="44" t="s">
        <v>1429</v>
      </c>
      <c r="Z325" s="44" t="s">
        <v>1429</v>
      </c>
      <c r="AG325" s="44" t="s">
        <v>3412</v>
      </c>
      <c r="AI325" s="44" t="s">
        <v>3413</v>
      </c>
      <c r="AK325" s="44" t="s">
        <v>644</v>
      </c>
    </row>
    <row r="326" spans="1:37">
      <c r="B326" s="44" t="s">
        <v>317</v>
      </c>
      <c r="C326" s="44" t="s">
        <v>317</v>
      </c>
      <c r="D326" s="44" t="s">
        <v>1466</v>
      </c>
      <c r="E326" s="44" t="s">
        <v>1207</v>
      </c>
      <c r="F326" s="44" t="s">
        <v>3414</v>
      </c>
      <c r="G326" s="44" t="s">
        <v>1430</v>
      </c>
      <c r="I326" s="45">
        <v>37918.573894016205</v>
      </c>
      <c r="J326" s="44" t="s">
        <v>1981</v>
      </c>
      <c r="K326" s="44" t="s">
        <v>3415</v>
      </c>
      <c r="L326" s="44" t="s">
        <v>3416</v>
      </c>
      <c r="M326" s="44" t="s">
        <v>318</v>
      </c>
      <c r="N326" s="46">
        <f>VLOOKUP(M326,'Spend Export'!$B:$E,4,FALSE)</f>
        <v>9524.84</v>
      </c>
      <c r="O326" s="44" t="s">
        <v>1429</v>
      </c>
      <c r="P326" s="44" t="s">
        <v>3417</v>
      </c>
      <c r="Q326" s="44" t="s">
        <v>1429</v>
      </c>
      <c r="R326" s="44" t="s">
        <v>20</v>
      </c>
      <c r="S326" s="44" t="s">
        <v>19</v>
      </c>
      <c r="T326" s="44" t="s">
        <v>1519</v>
      </c>
      <c r="U326" s="44" t="s">
        <v>1519</v>
      </c>
      <c r="V326" s="44" t="s">
        <v>3418</v>
      </c>
      <c r="W326" s="44" t="s">
        <v>3414</v>
      </c>
      <c r="X326" s="44" t="s">
        <v>1450</v>
      </c>
      <c r="Y326" s="44" t="s">
        <v>1386</v>
      </c>
      <c r="Z326" s="44" t="s">
        <v>1429</v>
      </c>
      <c r="AI326" s="44" t="s">
        <v>3419</v>
      </c>
      <c r="AK326" s="44" t="s">
        <v>318</v>
      </c>
    </row>
    <row r="327" spans="1:37">
      <c r="B327" s="44" t="s">
        <v>613</v>
      </c>
      <c r="C327" s="44" t="s">
        <v>613</v>
      </c>
      <c r="D327" s="44" t="s">
        <v>1522</v>
      </c>
      <c r="E327" s="44" t="s">
        <v>1207</v>
      </c>
      <c r="F327" s="44" t="s">
        <v>1429</v>
      </c>
      <c r="G327" s="44" t="s">
        <v>1430</v>
      </c>
      <c r="I327" s="45">
        <v>38048.763580706021</v>
      </c>
      <c r="K327" s="44" t="s">
        <v>3420</v>
      </c>
      <c r="M327" s="44" t="s">
        <v>614</v>
      </c>
      <c r="N327" s="46" t="e">
        <f>VLOOKUP(M327,'Spend Export'!$B:$E,4,FALSE)</f>
        <v>#N/A</v>
      </c>
      <c r="O327" s="44" t="s">
        <v>1429</v>
      </c>
      <c r="P327" s="44" t="s">
        <v>3421</v>
      </c>
      <c r="Q327" s="44" t="s">
        <v>1429</v>
      </c>
      <c r="R327" s="44" t="s">
        <v>20</v>
      </c>
      <c r="S327" s="44" t="s">
        <v>19</v>
      </c>
      <c r="T327" s="44" t="s">
        <v>1458</v>
      </c>
      <c r="U327" s="44" t="s">
        <v>1458</v>
      </c>
      <c r="V327" s="44" t="s">
        <v>3422</v>
      </c>
      <c r="W327" s="44" t="s">
        <v>3423</v>
      </c>
      <c r="X327" s="44" t="s">
        <v>1450</v>
      </c>
      <c r="Y327" s="44" t="s">
        <v>1429</v>
      </c>
      <c r="Z327" s="44" t="s">
        <v>1429</v>
      </c>
      <c r="AA327" s="44" t="s">
        <v>1761</v>
      </c>
      <c r="AG327" s="44" t="s">
        <v>2078</v>
      </c>
      <c r="AK327" s="44" t="s">
        <v>614</v>
      </c>
    </row>
    <row r="328" spans="1:37">
      <c r="B328" s="44" t="s">
        <v>499</v>
      </c>
      <c r="C328" s="44" t="s">
        <v>499</v>
      </c>
      <c r="D328" s="44" t="s">
        <v>3122</v>
      </c>
      <c r="E328" s="44" t="s">
        <v>2332</v>
      </c>
      <c r="G328" s="44" t="s">
        <v>1430</v>
      </c>
      <c r="I328" s="45">
        <v>44825.591901585649</v>
      </c>
      <c r="J328" s="44" t="s">
        <v>3123</v>
      </c>
      <c r="K328" s="44" t="s">
        <v>3424</v>
      </c>
      <c r="M328" s="44" t="s">
        <v>500</v>
      </c>
      <c r="N328" s="46">
        <f>VLOOKUP(M328,'Spend Export'!$B:$E,4,FALSE)</f>
        <v>9098.2499999999982</v>
      </c>
      <c r="Q328" s="44" t="s">
        <v>1429</v>
      </c>
      <c r="R328" s="44" t="s">
        <v>20</v>
      </c>
      <c r="S328" s="44" t="s">
        <v>20</v>
      </c>
      <c r="T328" s="44" t="s">
        <v>1708</v>
      </c>
      <c r="U328" s="44" t="s">
        <v>1708</v>
      </c>
      <c r="X328" s="44" t="s">
        <v>1450</v>
      </c>
      <c r="Y328" s="44" t="s">
        <v>1429</v>
      </c>
      <c r="Z328" s="44" t="s">
        <v>1429</v>
      </c>
      <c r="AI328" s="44" t="s">
        <v>3425</v>
      </c>
      <c r="AK328" s="44" t="s">
        <v>500</v>
      </c>
    </row>
    <row r="329" spans="1:37">
      <c r="B329" s="44" t="s">
        <v>694</v>
      </c>
      <c r="C329" s="44" t="s">
        <v>694</v>
      </c>
      <c r="D329" s="44" t="s">
        <v>2385</v>
      </c>
      <c r="E329" s="44" t="s">
        <v>1682</v>
      </c>
      <c r="F329" s="44" t="s">
        <v>1429</v>
      </c>
      <c r="G329" s="44" t="s">
        <v>1430</v>
      </c>
      <c r="I329" s="45">
        <v>45202.411029594907</v>
      </c>
      <c r="J329" s="44" t="s">
        <v>2812</v>
      </c>
      <c r="K329" s="44" t="s">
        <v>3426</v>
      </c>
      <c r="M329" s="44" t="s">
        <v>695</v>
      </c>
      <c r="N329" s="46" t="e">
        <f>VLOOKUP(M329,'Spend Export'!$B:$E,4,FALSE)</f>
        <v>#N/A</v>
      </c>
      <c r="O329" s="44" t="s">
        <v>1429</v>
      </c>
      <c r="P329" s="44" t="s">
        <v>3427</v>
      </c>
      <c r="Q329" s="44" t="s">
        <v>1429</v>
      </c>
      <c r="R329" s="44" t="s">
        <v>20</v>
      </c>
      <c r="S329" s="44" t="s">
        <v>19</v>
      </c>
      <c r="T329" s="44" t="s">
        <v>1458</v>
      </c>
      <c r="U329" s="44" t="s">
        <v>1458</v>
      </c>
      <c r="V329" s="44" t="s">
        <v>3428</v>
      </c>
      <c r="W329" s="44" t="s">
        <v>3429</v>
      </c>
      <c r="X329" s="44" t="s">
        <v>1461</v>
      </c>
      <c r="Y329" s="44" t="s">
        <v>1429</v>
      </c>
      <c r="Z329" s="44" t="s">
        <v>1386</v>
      </c>
      <c r="AA329" s="44" t="s">
        <v>2216</v>
      </c>
      <c r="AI329" s="44" t="s">
        <v>3430</v>
      </c>
      <c r="AK329" s="44" t="s">
        <v>695</v>
      </c>
    </row>
    <row r="330" spans="1:37">
      <c r="A330" s="44" t="s">
        <v>1635</v>
      </c>
      <c r="B330" s="44" t="s">
        <v>3431</v>
      </c>
      <c r="C330" s="44" t="s">
        <v>3431</v>
      </c>
      <c r="D330" s="44" t="s">
        <v>2582</v>
      </c>
      <c r="E330" s="44" t="s">
        <v>1883</v>
      </c>
      <c r="F330" s="44" t="s">
        <v>1429</v>
      </c>
      <c r="G330" s="44" t="s">
        <v>1430</v>
      </c>
      <c r="H330" s="44" t="s">
        <v>1431</v>
      </c>
      <c r="I330" s="45">
        <v>44005.670063043981</v>
      </c>
      <c r="J330" s="44" t="s">
        <v>1785</v>
      </c>
      <c r="K330" s="44" t="s">
        <v>3432</v>
      </c>
      <c r="M330" s="44" t="s">
        <v>1032</v>
      </c>
      <c r="N330" s="46">
        <f>VLOOKUP(M330,'Spend Export'!$B:$E,4,FALSE)</f>
        <v>9000</v>
      </c>
      <c r="P330" s="44" t="s">
        <v>3433</v>
      </c>
      <c r="Q330" s="44" t="s">
        <v>1429</v>
      </c>
      <c r="R330" s="44" t="s">
        <v>20</v>
      </c>
      <c r="S330" s="44" t="s">
        <v>19</v>
      </c>
      <c r="T330" s="44" t="s">
        <v>1484</v>
      </c>
      <c r="U330" s="44" t="s">
        <v>1484</v>
      </c>
      <c r="V330" s="44" t="s">
        <v>3434</v>
      </c>
      <c r="W330" s="44" t="s">
        <v>3435</v>
      </c>
      <c r="X330" s="44" t="s">
        <v>1439</v>
      </c>
      <c r="Y330" s="44" t="s">
        <v>1429</v>
      </c>
      <c r="Z330" s="44" t="s">
        <v>1429</v>
      </c>
      <c r="AA330" s="44" t="s">
        <v>2319</v>
      </c>
      <c r="AG330" s="44" t="s">
        <v>1785</v>
      </c>
      <c r="AI330" s="44" t="s">
        <v>3436</v>
      </c>
      <c r="AK330" s="44" t="s">
        <v>1032</v>
      </c>
    </row>
    <row r="331" spans="1:37">
      <c r="B331" s="44" t="s">
        <v>1078</v>
      </c>
      <c r="C331" s="44" t="s">
        <v>1078</v>
      </c>
      <c r="D331" s="44" t="s">
        <v>3437</v>
      </c>
      <c r="E331" s="44" t="s">
        <v>1572</v>
      </c>
      <c r="F331" s="44" t="s">
        <v>1429</v>
      </c>
      <c r="G331" s="44" t="s">
        <v>1430</v>
      </c>
      <c r="I331" s="45">
        <v>43083.665525775461</v>
      </c>
      <c r="J331" s="44" t="s">
        <v>2739</v>
      </c>
      <c r="K331" s="44" t="s">
        <v>3438</v>
      </c>
      <c r="M331" s="44" t="s">
        <v>1079</v>
      </c>
      <c r="N331" s="46">
        <f>VLOOKUP(M331,'Spend Export'!$B:$E,4,FALSE)</f>
        <v>8853.19</v>
      </c>
      <c r="O331" s="44" t="s">
        <v>1429</v>
      </c>
      <c r="P331" s="44" t="s">
        <v>1429</v>
      </c>
      <c r="Q331" s="44" t="s">
        <v>1429</v>
      </c>
      <c r="R331" s="44" t="s">
        <v>20</v>
      </c>
      <c r="S331" s="44" t="s">
        <v>19</v>
      </c>
      <c r="T331" s="44" t="s">
        <v>1656</v>
      </c>
      <c r="U331" s="44" t="s">
        <v>1502</v>
      </c>
      <c r="V331" s="44" t="s">
        <v>1078</v>
      </c>
      <c r="W331" s="44" t="s">
        <v>3439</v>
      </c>
      <c r="X331" s="44" t="s">
        <v>1450</v>
      </c>
      <c r="Y331" s="44" t="s">
        <v>1429</v>
      </c>
      <c r="Z331" s="44" t="s">
        <v>1429</v>
      </c>
      <c r="AI331" s="44" t="s">
        <v>3440</v>
      </c>
      <c r="AK331" s="44" t="s">
        <v>1079</v>
      </c>
    </row>
    <row r="332" spans="1:37">
      <c r="B332" s="44" t="s">
        <v>518</v>
      </c>
      <c r="C332" s="44" t="s">
        <v>518</v>
      </c>
      <c r="D332" s="44" t="s">
        <v>1428</v>
      </c>
      <c r="E332" s="44" t="s">
        <v>1207</v>
      </c>
      <c r="F332" s="44" t="s">
        <v>3441</v>
      </c>
      <c r="G332" s="44" t="s">
        <v>1430</v>
      </c>
      <c r="I332" s="45">
        <v>42489.623125810183</v>
      </c>
      <c r="J332" s="44" t="s">
        <v>3442</v>
      </c>
      <c r="K332" s="44" t="s">
        <v>3443</v>
      </c>
      <c r="M332" s="44" t="s">
        <v>519</v>
      </c>
      <c r="N332" s="46">
        <f>VLOOKUP(M332,'Spend Export'!$B:$E,4,FALSE)</f>
        <v>8737.7799999999988</v>
      </c>
      <c r="P332" s="44" t="s">
        <v>3444</v>
      </c>
      <c r="Q332" s="44" t="s">
        <v>1429</v>
      </c>
      <c r="R332" s="44" t="s">
        <v>20</v>
      </c>
      <c r="S332" s="44" t="s">
        <v>19</v>
      </c>
      <c r="T332" s="44" t="s">
        <v>3445</v>
      </c>
      <c r="U332" s="44" t="s">
        <v>1509</v>
      </c>
      <c r="V332" s="44" t="s">
        <v>3446</v>
      </c>
      <c r="W332" s="44" t="s">
        <v>3447</v>
      </c>
      <c r="X332" s="44" t="s">
        <v>1439</v>
      </c>
      <c r="Y332" s="44" t="s">
        <v>1386</v>
      </c>
      <c r="Z332" s="44" t="s">
        <v>1386</v>
      </c>
      <c r="AH332" s="44" t="s">
        <v>1503</v>
      </c>
      <c r="AI332" s="44" t="s">
        <v>3448</v>
      </c>
      <c r="AK332" s="44" t="s">
        <v>3449</v>
      </c>
    </row>
    <row r="333" spans="1:37">
      <c r="B333" s="44" t="s">
        <v>910</v>
      </c>
      <c r="C333" s="44" t="s">
        <v>910</v>
      </c>
      <c r="D333" s="44" t="s">
        <v>3450</v>
      </c>
      <c r="E333" s="44" t="s">
        <v>3451</v>
      </c>
      <c r="F333" s="44" t="s">
        <v>1429</v>
      </c>
      <c r="G333" s="44" t="s">
        <v>1430</v>
      </c>
      <c r="I333" s="45">
        <v>37973.498361226855</v>
      </c>
      <c r="J333" s="44" t="s">
        <v>3452</v>
      </c>
      <c r="K333" s="44" t="s">
        <v>3453</v>
      </c>
      <c r="M333" s="44" t="s">
        <v>911</v>
      </c>
      <c r="N333" s="46">
        <f>VLOOKUP(M333,'Spend Export'!$B:$E,4,FALSE)</f>
        <v>8427.19</v>
      </c>
      <c r="O333" s="44" t="s">
        <v>1429</v>
      </c>
      <c r="P333" s="44" t="s">
        <v>3454</v>
      </c>
      <c r="Q333" s="44" t="s">
        <v>1429</v>
      </c>
      <c r="R333" s="44" t="s">
        <v>20</v>
      </c>
      <c r="S333" s="44" t="s">
        <v>19</v>
      </c>
      <c r="T333" s="44" t="s">
        <v>1556</v>
      </c>
      <c r="U333" s="44" t="s">
        <v>1556</v>
      </c>
      <c r="V333" s="44" t="s">
        <v>3455</v>
      </c>
      <c r="W333" s="44" t="s">
        <v>3456</v>
      </c>
      <c r="X333" s="44" t="s">
        <v>1461</v>
      </c>
      <c r="Y333" s="44" t="s">
        <v>1429</v>
      </c>
      <c r="Z333" s="44" t="s">
        <v>1429</v>
      </c>
      <c r="AI333" s="44" t="s">
        <v>3457</v>
      </c>
      <c r="AK333" s="44" t="s">
        <v>911</v>
      </c>
    </row>
    <row r="334" spans="1:37">
      <c r="B334" s="44" t="s">
        <v>1126</v>
      </c>
      <c r="C334" s="44" t="s">
        <v>1126</v>
      </c>
      <c r="D334" s="44" t="s">
        <v>3458</v>
      </c>
      <c r="E334" s="44" t="s">
        <v>1207</v>
      </c>
      <c r="F334" s="44" t="s">
        <v>1429</v>
      </c>
      <c r="G334" s="44" t="s">
        <v>1430</v>
      </c>
      <c r="I334" s="45">
        <v>44505.485531134262</v>
      </c>
      <c r="J334" s="44" t="s">
        <v>2800</v>
      </c>
      <c r="K334" s="44" t="s">
        <v>3459</v>
      </c>
      <c r="M334" s="44" t="s">
        <v>1127</v>
      </c>
      <c r="N334" s="46">
        <f>VLOOKUP(M334,'Spend Export'!$B:$E,4,FALSE)</f>
        <v>8421.5</v>
      </c>
      <c r="O334" s="44" t="s">
        <v>1429</v>
      </c>
      <c r="P334" s="44" t="s">
        <v>1429</v>
      </c>
      <c r="Q334" s="44" t="s">
        <v>1429</v>
      </c>
      <c r="R334" s="44" t="s">
        <v>20</v>
      </c>
      <c r="S334" s="44" t="s">
        <v>19</v>
      </c>
      <c r="T334" s="44" t="s">
        <v>1502</v>
      </c>
      <c r="U334" s="44" t="s">
        <v>1502</v>
      </c>
      <c r="V334" s="44" t="s">
        <v>3460</v>
      </c>
      <c r="W334" s="44" t="s">
        <v>3461</v>
      </c>
      <c r="X334" s="44" t="s">
        <v>1439</v>
      </c>
      <c r="Y334" s="44" t="s">
        <v>1429</v>
      </c>
      <c r="Z334" s="44" t="s">
        <v>1429</v>
      </c>
      <c r="AI334" s="44" t="s">
        <v>3462</v>
      </c>
      <c r="AK334" s="44" t="s">
        <v>1127</v>
      </c>
    </row>
    <row r="335" spans="1:37">
      <c r="B335" s="44" t="s">
        <v>323</v>
      </c>
      <c r="C335" s="44" t="s">
        <v>323</v>
      </c>
      <c r="D335" s="44" t="s">
        <v>3463</v>
      </c>
      <c r="E335" s="44" t="s">
        <v>2724</v>
      </c>
      <c r="F335" s="44" t="s">
        <v>1429</v>
      </c>
      <c r="G335" s="44" t="s">
        <v>1430</v>
      </c>
      <c r="I335" s="45">
        <v>44706.312991087965</v>
      </c>
      <c r="J335" s="44" t="s">
        <v>1756</v>
      </c>
      <c r="K335" s="44" t="s">
        <v>3464</v>
      </c>
      <c r="M335" s="44" t="s">
        <v>324</v>
      </c>
      <c r="N335" s="46">
        <f>VLOOKUP(M335,'Spend Export'!$B:$E,4,FALSE)</f>
        <v>8380.1</v>
      </c>
      <c r="O335" s="44" t="s">
        <v>1429</v>
      </c>
      <c r="P335" s="44" t="s">
        <v>3465</v>
      </c>
      <c r="Q335" s="44" t="s">
        <v>1429</v>
      </c>
      <c r="R335" s="44" t="s">
        <v>20</v>
      </c>
      <c r="S335" s="44" t="s">
        <v>19</v>
      </c>
      <c r="T335" s="44" t="s">
        <v>1556</v>
      </c>
      <c r="U335" s="44" t="s">
        <v>1556</v>
      </c>
      <c r="V335" s="44" t="s">
        <v>3466</v>
      </c>
      <c r="W335" s="44" t="s">
        <v>3467</v>
      </c>
      <c r="X335" s="44" t="s">
        <v>1461</v>
      </c>
      <c r="Y335" s="44" t="s">
        <v>1386</v>
      </c>
      <c r="Z335" s="44" t="s">
        <v>1429</v>
      </c>
      <c r="AA335" s="44" t="s">
        <v>1761</v>
      </c>
      <c r="AG335" s="44" t="s">
        <v>1559</v>
      </c>
      <c r="AI335" s="44" t="s">
        <v>3468</v>
      </c>
      <c r="AK335" s="44" t="s">
        <v>324</v>
      </c>
    </row>
    <row r="336" spans="1:37">
      <c r="B336" s="44" t="s">
        <v>458</v>
      </c>
      <c r="C336" s="44" t="s">
        <v>458</v>
      </c>
      <c r="D336" s="44" t="s">
        <v>2986</v>
      </c>
      <c r="E336" s="44" t="s">
        <v>2987</v>
      </c>
      <c r="F336" s="44" t="s">
        <v>1429</v>
      </c>
      <c r="G336" s="44" t="s">
        <v>1430</v>
      </c>
      <c r="I336" s="45">
        <v>44448.387417094906</v>
      </c>
      <c r="J336" s="44" t="s">
        <v>2433</v>
      </c>
      <c r="K336" s="44" t="s">
        <v>3469</v>
      </c>
      <c r="M336" s="44" t="s">
        <v>459</v>
      </c>
      <c r="N336" s="46">
        <f>VLOOKUP(M336,'Spend Export'!$B:$E,4,FALSE)</f>
        <v>8332.5</v>
      </c>
      <c r="O336" s="44" t="s">
        <v>1429</v>
      </c>
      <c r="P336" s="44" t="s">
        <v>3470</v>
      </c>
      <c r="Q336" s="44" t="s">
        <v>1429</v>
      </c>
      <c r="R336" s="44" t="s">
        <v>20</v>
      </c>
      <c r="S336" s="44" t="s">
        <v>19</v>
      </c>
      <c r="T336" s="44" t="s">
        <v>1484</v>
      </c>
      <c r="U336" s="44" t="s">
        <v>1484</v>
      </c>
      <c r="V336" s="44" t="s">
        <v>3471</v>
      </c>
      <c r="W336" s="44" t="s">
        <v>3472</v>
      </c>
      <c r="X336" s="44" t="s">
        <v>1450</v>
      </c>
      <c r="Y336" s="44" t="s">
        <v>1429</v>
      </c>
      <c r="Z336" s="44" t="s">
        <v>1429</v>
      </c>
      <c r="AG336" s="44" t="s">
        <v>2433</v>
      </c>
      <c r="AI336" s="44" t="s">
        <v>3473</v>
      </c>
      <c r="AK336" s="44" t="s">
        <v>3474</v>
      </c>
    </row>
    <row r="337" spans="1:37">
      <c r="B337" s="44" t="s">
        <v>748</v>
      </c>
      <c r="C337" s="44" t="s">
        <v>748</v>
      </c>
      <c r="D337" s="44" t="s">
        <v>2457</v>
      </c>
      <c r="E337" s="44" t="s">
        <v>2005</v>
      </c>
      <c r="F337" s="44" t="s">
        <v>3475</v>
      </c>
      <c r="G337" s="44" t="s">
        <v>1430</v>
      </c>
      <c r="I337" s="45">
        <v>42353.611069826387</v>
      </c>
      <c r="K337" s="44" t="s">
        <v>3476</v>
      </c>
      <c r="M337" s="44" t="s">
        <v>749</v>
      </c>
      <c r="N337" s="46">
        <f>VLOOKUP(M337,'Spend Export'!$B:$E,4,FALSE)</f>
        <v>8153.67</v>
      </c>
      <c r="O337" s="44" t="s">
        <v>1429</v>
      </c>
      <c r="P337" s="44" t="s">
        <v>3477</v>
      </c>
      <c r="Q337" s="44" t="s">
        <v>1429</v>
      </c>
      <c r="R337" s="44" t="s">
        <v>20</v>
      </c>
      <c r="S337" s="44" t="s">
        <v>19</v>
      </c>
      <c r="T337" s="44" t="s">
        <v>1556</v>
      </c>
      <c r="U337" s="44" t="s">
        <v>1556</v>
      </c>
      <c r="V337" s="44" t="s">
        <v>3478</v>
      </c>
      <c r="W337" s="44" t="s">
        <v>3475</v>
      </c>
      <c r="X337" s="44" t="s">
        <v>1594</v>
      </c>
      <c r="Y337" s="44" t="s">
        <v>1429</v>
      </c>
      <c r="Z337" s="44" t="s">
        <v>1429</v>
      </c>
      <c r="AI337" s="44" t="s">
        <v>3479</v>
      </c>
      <c r="AK337" s="44" t="s">
        <v>749</v>
      </c>
    </row>
    <row r="338" spans="1:37">
      <c r="B338" s="44" t="s">
        <v>692</v>
      </c>
      <c r="C338" s="44" t="s">
        <v>692</v>
      </c>
      <c r="D338" s="44" t="s">
        <v>3480</v>
      </c>
      <c r="E338" s="44" t="s">
        <v>1207</v>
      </c>
      <c r="F338" s="44" t="s">
        <v>3481</v>
      </c>
      <c r="G338" s="44" t="s">
        <v>1430</v>
      </c>
      <c r="I338" s="45">
        <v>41984.322351238428</v>
      </c>
      <c r="K338" s="44" t="s">
        <v>3482</v>
      </c>
      <c r="M338" s="44" t="s">
        <v>693</v>
      </c>
      <c r="N338" s="46">
        <f>VLOOKUP(M338,'Spend Export'!$B:$E,4,FALSE)</f>
        <v>8000</v>
      </c>
      <c r="P338" s="44" t="s">
        <v>3483</v>
      </c>
      <c r="Q338" s="44" t="s">
        <v>1429</v>
      </c>
      <c r="R338" s="44" t="s">
        <v>19</v>
      </c>
      <c r="S338" s="44" t="s">
        <v>19</v>
      </c>
      <c r="T338" s="44" t="s">
        <v>1484</v>
      </c>
      <c r="U338" s="44" t="s">
        <v>1484</v>
      </c>
      <c r="V338" s="44" t="s">
        <v>3484</v>
      </c>
      <c r="W338" s="44" t="s">
        <v>3481</v>
      </c>
      <c r="X338" s="44" t="s">
        <v>1584</v>
      </c>
      <c r="Y338" s="44" t="s">
        <v>1386</v>
      </c>
      <c r="Z338" s="44" t="s">
        <v>1386</v>
      </c>
      <c r="AG338" s="44" t="s">
        <v>2472</v>
      </c>
      <c r="AK338" s="44" t="s">
        <v>693</v>
      </c>
    </row>
    <row r="339" spans="1:37">
      <c r="B339" s="44" t="s">
        <v>1060</v>
      </c>
      <c r="C339" s="44" t="s">
        <v>1060</v>
      </c>
      <c r="D339" s="44" t="s">
        <v>3011</v>
      </c>
      <c r="E339" s="44" t="s">
        <v>1207</v>
      </c>
      <c r="F339" s="44" t="s">
        <v>1429</v>
      </c>
      <c r="G339" s="44" t="s">
        <v>1430</v>
      </c>
      <c r="I339" s="45">
        <v>44879.450681365743</v>
      </c>
      <c r="J339" s="44" t="s">
        <v>3485</v>
      </c>
      <c r="K339" s="44" t="s">
        <v>3486</v>
      </c>
      <c r="M339" s="44" t="s">
        <v>1061</v>
      </c>
      <c r="N339" s="46">
        <f>VLOOKUP(M339,'Spend Export'!$B:$E,4,FALSE)</f>
        <v>8000</v>
      </c>
      <c r="O339" s="44" t="s">
        <v>1429</v>
      </c>
      <c r="P339" s="44" t="s">
        <v>3487</v>
      </c>
      <c r="Q339" s="44" t="s">
        <v>1429</v>
      </c>
      <c r="R339" s="44" t="s">
        <v>20</v>
      </c>
      <c r="S339" s="44" t="s">
        <v>19</v>
      </c>
      <c r="T339" s="44" t="s">
        <v>1484</v>
      </c>
      <c r="U339" s="44" t="s">
        <v>1484</v>
      </c>
      <c r="V339" s="44" t="s">
        <v>3488</v>
      </c>
      <c r="W339" s="44" t="s">
        <v>3489</v>
      </c>
      <c r="X339" s="44" t="s">
        <v>1450</v>
      </c>
      <c r="Y339" s="44" t="s">
        <v>1429</v>
      </c>
      <c r="Z339" s="44" t="s">
        <v>1429</v>
      </c>
      <c r="AI339" s="44" t="s">
        <v>3490</v>
      </c>
      <c r="AK339" s="44" t="s">
        <v>1061</v>
      </c>
    </row>
    <row r="340" spans="1:37">
      <c r="B340" s="44" t="s">
        <v>3491</v>
      </c>
      <c r="C340" s="44" t="s">
        <v>3491</v>
      </c>
      <c r="D340" s="44" t="s">
        <v>1466</v>
      </c>
      <c r="E340" s="44" t="s">
        <v>1207</v>
      </c>
      <c r="F340" s="44" t="s">
        <v>3492</v>
      </c>
      <c r="G340" s="44" t="s">
        <v>1430</v>
      </c>
      <c r="I340" s="45">
        <v>42270.559252662038</v>
      </c>
      <c r="J340" s="44" t="s">
        <v>3493</v>
      </c>
      <c r="K340" s="44" t="s">
        <v>3494</v>
      </c>
      <c r="M340" s="44" t="s">
        <v>864</v>
      </c>
      <c r="N340" s="46">
        <f>VLOOKUP(M340,'Spend Export'!$B:$E,4,FALSE)</f>
        <v>7992</v>
      </c>
      <c r="O340" s="44" t="s">
        <v>1429</v>
      </c>
      <c r="P340" s="44" t="s">
        <v>3495</v>
      </c>
      <c r="Q340" s="44" t="s">
        <v>1429</v>
      </c>
      <c r="R340" s="44" t="s">
        <v>20</v>
      </c>
      <c r="S340" s="44" t="s">
        <v>19</v>
      </c>
      <c r="T340" s="44" t="s">
        <v>1502</v>
      </c>
      <c r="U340" s="44" t="s">
        <v>1502</v>
      </c>
      <c r="V340" s="44" t="s">
        <v>3496</v>
      </c>
      <c r="W340" s="44" t="s">
        <v>3497</v>
      </c>
      <c r="X340" s="44" t="s">
        <v>1461</v>
      </c>
      <c r="Y340" s="44" t="s">
        <v>1429</v>
      </c>
      <c r="Z340" s="44" t="s">
        <v>1386</v>
      </c>
      <c r="AA340" s="44" t="s">
        <v>3498</v>
      </c>
      <c r="AI340" s="44" t="s">
        <v>3499</v>
      </c>
      <c r="AK340" s="44" t="s">
        <v>864</v>
      </c>
    </row>
    <row r="341" spans="1:37">
      <c r="B341" s="44" t="s">
        <v>364</v>
      </c>
      <c r="C341" s="44" t="s">
        <v>364</v>
      </c>
      <c r="D341" s="44" t="s">
        <v>3500</v>
      </c>
      <c r="E341" s="44" t="s">
        <v>2820</v>
      </c>
      <c r="F341" s="44" t="s">
        <v>1429</v>
      </c>
      <c r="G341" s="44" t="s">
        <v>1430</v>
      </c>
      <c r="I341" s="45">
        <v>45062.651369826388</v>
      </c>
      <c r="J341" s="44" t="s">
        <v>1492</v>
      </c>
      <c r="K341" s="44" t="s">
        <v>3501</v>
      </c>
      <c r="M341" s="44" t="s">
        <v>365</v>
      </c>
      <c r="N341" s="46" t="e">
        <f>VLOOKUP(M341,'Spend Export'!$B:$E,4,FALSE)</f>
        <v>#N/A</v>
      </c>
      <c r="O341" s="44" t="s">
        <v>1429</v>
      </c>
      <c r="P341" s="44" t="s">
        <v>3502</v>
      </c>
      <c r="Q341" s="44" t="s">
        <v>1429</v>
      </c>
      <c r="R341" s="44" t="s">
        <v>20</v>
      </c>
      <c r="S341" s="44" t="s">
        <v>19</v>
      </c>
      <c r="T341" s="44" t="s">
        <v>1458</v>
      </c>
      <c r="U341" s="44" t="s">
        <v>1458</v>
      </c>
      <c r="V341" s="44" t="s">
        <v>3503</v>
      </c>
      <c r="W341" s="44" t="s">
        <v>3504</v>
      </c>
      <c r="X341" s="44" t="s">
        <v>1439</v>
      </c>
      <c r="Y341" s="44" t="s">
        <v>1429</v>
      </c>
      <c r="Z341" s="44" t="s">
        <v>1386</v>
      </c>
      <c r="AB341" s="44" t="s">
        <v>3505</v>
      </c>
      <c r="AI341" s="44" t="s">
        <v>3506</v>
      </c>
      <c r="AK341" s="44" t="s">
        <v>365</v>
      </c>
    </row>
    <row r="342" spans="1:37">
      <c r="B342" s="44" t="s">
        <v>820</v>
      </c>
      <c r="C342" s="44" t="s">
        <v>820</v>
      </c>
      <c r="D342" s="44" t="s">
        <v>2693</v>
      </c>
      <c r="E342" s="44" t="s">
        <v>1207</v>
      </c>
      <c r="F342" s="44" t="s">
        <v>1429</v>
      </c>
      <c r="G342" s="44" t="s">
        <v>1430</v>
      </c>
      <c r="I342" s="45">
        <v>44798.431395636573</v>
      </c>
      <c r="J342" s="44" t="s">
        <v>3507</v>
      </c>
      <c r="K342" s="44" t="s">
        <v>3508</v>
      </c>
      <c r="M342" s="44" t="s">
        <v>821</v>
      </c>
      <c r="N342" s="46">
        <f>VLOOKUP(M342,'Spend Export'!$B:$E,4,FALSE)</f>
        <v>7600</v>
      </c>
      <c r="O342" s="44" t="s">
        <v>1429</v>
      </c>
      <c r="P342" s="44" t="s">
        <v>3509</v>
      </c>
      <c r="Q342" s="44" t="s">
        <v>1429</v>
      </c>
      <c r="R342" s="44" t="s">
        <v>19</v>
      </c>
      <c r="S342" s="44" t="s">
        <v>19</v>
      </c>
      <c r="T342" s="44" t="s">
        <v>2566</v>
      </c>
      <c r="U342" s="44" t="s">
        <v>1484</v>
      </c>
      <c r="V342" s="44" t="s">
        <v>3510</v>
      </c>
      <c r="W342" s="44" t="s">
        <v>3511</v>
      </c>
      <c r="X342" s="44" t="s">
        <v>1450</v>
      </c>
      <c r="Y342" s="44" t="s">
        <v>1429</v>
      </c>
      <c r="Z342" s="44" t="s">
        <v>1429</v>
      </c>
      <c r="AH342" s="44" t="s">
        <v>3512</v>
      </c>
      <c r="AI342" s="44" t="s">
        <v>3513</v>
      </c>
      <c r="AK342" s="44" t="s">
        <v>821</v>
      </c>
    </row>
    <row r="343" spans="1:37">
      <c r="B343" s="44" t="s">
        <v>1146</v>
      </c>
      <c r="C343" s="44" t="s">
        <v>1146</v>
      </c>
      <c r="D343" s="44" t="s">
        <v>1466</v>
      </c>
      <c r="E343" s="44" t="s">
        <v>1207</v>
      </c>
      <c r="F343" s="44" t="s">
        <v>3514</v>
      </c>
      <c r="G343" s="44" t="s">
        <v>1430</v>
      </c>
      <c r="I343" s="45">
        <v>42737.466727430554</v>
      </c>
      <c r="K343" s="44" t="s">
        <v>3515</v>
      </c>
      <c r="M343" s="44" t="s">
        <v>1147</v>
      </c>
      <c r="N343" s="46">
        <f>VLOOKUP(M343,'Spend Export'!$B:$E,4,FALSE)</f>
        <v>7600</v>
      </c>
      <c r="P343" s="44" t="s">
        <v>3516</v>
      </c>
      <c r="Q343" s="44" t="s">
        <v>1429</v>
      </c>
      <c r="R343" s="44" t="s">
        <v>20</v>
      </c>
      <c r="S343" s="44" t="s">
        <v>19</v>
      </c>
      <c r="T343" s="44" t="s">
        <v>3517</v>
      </c>
      <c r="U343" s="44" t="s">
        <v>1484</v>
      </c>
      <c r="X343" s="44" t="s">
        <v>1439</v>
      </c>
      <c r="Y343" s="44" t="s">
        <v>1429</v>
      </c>
      <c r="Z343" s="44" t="s">
        <v>1429</v>
      </c>
      <c r="AK343" s="44" t="s">
        <v>1147</v>
      </c>
    </row>
    <row r="344" spans="1:37">
      <c r="B344" s="44" t="s">
        <v>968</v>
      </c>
      <c r="C344" s="44" t="s">
        <v>968</v>
      </c>
      <c r="D344" s="44" t="s">
        <v>1490</v>
      </c>
      <c r="E344" s="44" t="s">
        <v>1491</v>
      </c>
      <c r="F344" s="44" t="s">
        <v>1429</v>
      </c>
      <c r="G344" s="44" t="s">
        <v>1430</v>
      </c>
      <c r="I344" s="45">
        <v>45002.556411423611</v>
      </c>
      <c r="J344" s="44" t="s">
        <v>3518</v>
      </c>
      <c r="K344" s="44" t="s">
        <v>3519</v>
      </c>
      <c r="M344" s="44" t="s">
        <v>969</v>
      </c>
      <c r="N344" s="46">
        <f>VLOOKUP(M344,'Spend Export'!$B:$E,4,FALSE)</f>
        <v>7500</v>
      </c>
      <c r="O344" s="44" t="s">
        <v>1429</v>
      </c>
      <c r="P344" s="44" t="s">
        <v>3520</v>
      </c>
      <c r="Q344" s="44" t="s">
        <v>1429</v>
      </c>
      <c r="R344" s="44" t="s">
        <v>19</v>
      </c>
      <c r="S344" s="44" t="s">
        <v>19</v>
      </c>
      <c r="T344" s="44" t="s">
        <v>1708</v>
      </c>
      <c r="U344" s="44" t="s">
        <v>1708</v>
      </c>
      <c r="V344" s="44" t="s">
        <v>3521</v>
      </c>
      <c r="W344" s="44" t="s">
        <v>3522</v>
      </c>
      <c r="X344" s="44" t="s">
        <v>1450</v>
      </c>
      <c r="Y344" s="44" t="s">
        <v>1429</v>
      </c>
      <c r="Z344" s="44" t="s">
        <v>1386</v>
      </c>
      <c r="AI344" s="44" t="s">
        <v>3523</v>
      </c>
      <c r="AK344" s="44" t="s">
        <v>969</v>
      </c>
    </row>
    <row r="345" spans="1:37">
      <c r="B345" s="44" t="s">
        <v>952</v>
      </c>
      <c r="C345" s="44" t="s">
        <v>952</v>
      </c>
      <c r="D345" s="44" t="s">
        <v>3463</v>
      </c>
      <c r="E345" s="44" t="s">
        <v>2724</v>
      </c>
      <c r="F345" s="44" t="s">
        <v>1429</v>
      </c>
      <c r="G345" s="44" t="s">
        <v>1430</v>
      </c>
      <c r="I345" s="45">
        <v>43264.653852002317</v>
      </c>
      <c r="J345" s="44" t="s">
        <v>1492</v>
      </c>
      <c r="K345" s="44" t="s">
        <v>3524</v>
      </c>
      <c r="M345" s="44" t="s">
        <v>953</v>
      </c>
      <c r="N345" s="46" t="e">
        <f>VLOOKUP(M345,'Spend Export'!$B:$E,4,FALSE)</f>
        <v>#N/A</v>
      </c>
      <c r="P345" s="44" t="s">
        <v>3525</v>
      </c>
      <c r="Q345" s="44" t="s">
        <v>1429</v>
      </c>
      <c r="R345" s="44" t="s">
        <v>20</v>
      </c>
      <c r="S345" s="44" t="s">
        <v>19</v>
      </c>
      <c r="T345" s="44" t="s">
        <v>1458</v>
      </c>
      <c r="U345" s="44" t="s">
        <v>1458</v>
      </c>
      <c r="V345" s="44" t="s">
        <v>3526</v>
      </c>
      <c r="W345" s="44" t="s">
        <v>3527</v>
      </c>
      <c r="X345" s="44" t="s">
        <v>1450</v>
      </c>
      <c r="Y345" s="44" t="s">
        <v>1429</v>
      </c>
      <c r="Z345" s="44" t="s">
        <v>1386</v>
      </c>
      <c r="AI345" s="44" t="s">
        <v>3528</v>
      </c>
      <c r="AK345" s="44" t="s">
        <v>953</v>
      </c>
    </row>
    <row r="346" spans="1:37">
      <c r="B346" s="44" t="s">
        <v>345</v>
      </c>
      <c r="C346" s="44" t="s">
        <v>345</v>
      </c>
      <c r="D346" s="44" t="s">
        <v>3529</v>
      </c>
      <c r="E346" s="44" t="s">
        <v>1572</v>
      </c>
      <c r="F346" s="44" t="s">
        <v>1429</v>
      </c>
      <c r="G346" s="44" t="s">
        <v>1430</v>
      </c>
      <c r="I346" s="45">
        <v>44874.608920983796</v>
      </c>
      <c r="J346" s="44" t="s">
        <v>3530</v>
      </c>
      <c r="K346" s="44" t="s">
        <v>3531</v>
      </c>
      <c r="M346" s="44" t="s">
        <v>346</v>
      </c>
      <c r="N346" s="46">
        <f>VLOOKUP(M346,'Spend Export'!$B:$E,4,FALSE)</f>
        <v>7325</v>
      </c>
      <c r="O346" s="44" t="s">
        <v>1429</v>
      </c>
      <c r="P346" s="44" t="s">
        <v>1429</v>
      </c>
      <c r="Q346" s="44" t="s">
        <v>1429</v>
      </c>
      <c r="R346" s="44" t="s">
        <v>20</v>
      </c>
      <c r="S346" s="44" t="s">
        <v>19</v>
      </c>
      <c r="T346" s="44" t="s">
        <v>1502</v>
      </c>
      <c r="U346" s="44" t="s">
        <v>1502</v>
      </c>
      <c r="V346" s="44" t="s">
        <v>3532</v>
      </c>
      <c r="W346" s="44" t="s">
        <v>3533</v>
      </c>
      <c r="X346" s="44" t="s">
        <v>1450</v>
      </c>
      <c r="Y346" s="44" t="s">
        <v>1429</v>
      </c>
      <c r="Z346" s="44" t="s">
        <v>1429</v>
      </c>
      <c r="AI346" s="44" t="s">
        <v>3534</v>
      </c>
      <c r="AK346" s="44" t="s">
        <v>346</v>
      </c>
    </row>
    <row r="347" spans="1:37">
      <c r="A347" s="44" t="s">
        <v>3535</v>
      </c>
      <c r="B347" s="44" t="s">
        <v>950</v>
      </c>
      <c r="C347" s="44" t="s">
        <v>950</v>
      </c>
      <c r="D347" s="44" t="s">
        <v>1651</v>
      </c>
      <c r="E347" s="44" t="s">
        <v>1652</v>
      </c>
      <c r="F347" s="44" t="s">
        <v>1429</v>
      </c>
      <c r="G347" s="44" t="s">
        <v>1430</v>
      </c>
      <c r="H347" s="44" t="s">
        <v>1431</v>
      </c>
      <c r="I347" s="45">
        <v>39378.559926585651</v>
      </c>
      <c r="K347" s="44" t="s">
        <v>3536</v>
      </c>
      <c r="M347" s="44" t="s">
        <v>951</v>
      </c>
      <c r="N347" s="46">
        <f>VLOOKUP(M347,'Spend Export'!$B:$E,4,FALSE)</f>
        <v>7167.21</v>
      </c>
      <c r="P347" s="44" t="s">
        <v>3537</v>
      </c>
      <c r="Q347" s="44" t="s">
        <v>1429</v>
      </c>
      <c r="R347" s="44" t="s">
        <v>20</v>
      </c>
      <c r="S347" s="44" t="s">
        <v>19</v>
      </c>
      <c r="T347" s="44" t="s">
        <v>1484</v>
      </c>
      <c r="U347" s="44" t="s">
        <v>1484</v>
      </c>
      <c r="V347" s="44" t="s">
        <v>3538</v>
      </c>
      <c r="W347" s="44" t="s">
        <v>3539</v>
      </c>
      <c r="X347" s="44" t="s">
        <v>1461</v>
      </c>
      <c r="Y347" s="44" t="s">
        <v>1429</v>
      </c>
      <c r="Z347" s="44" t="s">
        <v>1429</v>
      </c>
      <c r="AK347" s="44" t="s">
        <v>951</v>
      </c>
    </row>
    <row r="348" spans="1:37">
      <c r="B348" s="44" t="s">
        <v>714</v>
      </c>
      <c r="C348" s="44" t="s">
        <v>714</v>
      </c>
      <c r="D348" s="44" t="s">
        <v>3540</v>
      </c>
      <c r="E348" s="44" t="s">
        <v>1476</v>
      </c>
      <c r="F348" s="44" t="s">
        <v>1429</v>
      </c>
      <c r="G348" s="44" t="s">
        <v>1430</v>
      </c>
      <c r="I348" s="45">
        <v>43283.652974571756</v>
      </c>
      <c r="J348" s="44" t="s">
        <v>2265</v>
      </c>
      <c r="K348" s="44" t="s">
        <v>3541</v>
      </c>
      <c r="M348" s="44" t="s">
        <v>715</v>
      </c>
      <c r="N348" s="46">
        <f>VLOOKUP(M348,'Spend Export'!$B:$E,4,FALSE)</f>
        <v>7080</v>
      </c>
      <c r="P348" s="44" t="s">
        <v>1429</v>
      </c>
      <c r="Q348" s="44" t="s">
        <v>1429</v>
      </c>
      <c r="R348" s="44" t="s">
        <v>20</v>
      </c>
      <c r="S348" s="44" t="s">
        <v>19</v>
      </c>
      <c r="T348" s="44" t="s">
        <v>1484</v>
      </c>
      <c r="U348" s="44" t="s">
        <v>1484</v>
      </c>
      <c r="V348" s="44" t="s">
        <v>3542</v>
      </c>
      <c r="W348" s="44" t="s">
        <v>3543</v>
      </c>
      <c r="X348" s="44" t="s">
        <v>1461</v>
      </c>
      <c r="Y348" s="44" t="s">
        <v>1429</v>
      </c>
      <c r="Z348" s="44" t="s">
        <v>1386</v>
      </c>
      <c r="AI348" s="44" t="s">
        <v>3544</v>
      </c>
      <c r="AK348" s="44" t="s">
        <v>715</v>
      </c>
    </row>
    <row r="349" spans="1:37">
      <c r="B349" s="44" t="s">
        <v>504</v>
      </c>
      <c r="C349" s="44" t="s">
        <v>504</v>
      </c>
      <c r="D349" s="44" t="s">
        <v>1443</v>
      </c>
      <c r="E349" s="44" t="s">
        <v>1207</v>
      </c>
      <c r="F349" s="44" t="s">
        <v>1429</v>
      </c>
      <c r="G349" s="44" t="s">
        <v>1430</v>
      </c>
      <c r="I349" s="45">
        <v>44588.630205983798</v>
      </c>
      <c r="J349" s="44" t="s">
        <v>3079</v>
      </c>
      <c r="K349" s="44" t="s">
        <v>3545</v>
      </c>
      <c r="M349" s="44" t="s">
        <v>505</v>
      </c>
      <c r="N349" s="46">
        <f>VLOOKUP(M349,'Spend Export'!$B:$E,4,FALSE)</f>
        <v>7000</v>
      </c>
      <c r="O349" s="44" t="s">
        <v>1429</v>
      </c>
      <c r="P349" s="44" t="s">
        <v>3546</v>
      </c>
      <c r="Q349" s="44" t="s">
        <v>1429</v>
      </c>
      <c r="R349" s="44" t="s">
        <v>20</v>
      </c>
      <c r="S349" s="44" t="s">
        <v>19</v>
      </c>
      <c r="T349" s="44" t="s">
        <v>1502</v>
      </c>
      <c r="U349" s="44" t="s">
        <v>1502</v>
      </c>
      <c r="V349" s="44" t="s">
        <v>3547</v>
      </c>
      <c r="W349" s="44" t="s">
        <v>3548</v>
      </c>
      <c r="X349" s="44" t="s">
        <v>1450</v>
      </c>
      <c r="Y349" s="44" t="s">
        <v>1429</v>
      </c>
      <c r="Z349" s="44" t="s">
        <v>1429</v>
      </c>
      <c r="AA349" s="44" t="s">
        <v>2498</v>
      </c>
      <c r="AI349" s="44" t="s">
        <v>3549</v>
      </c>
      <c r="AK349" s="44" t="s">
        <v>505</v>
      </c>
    </row>
    <row r="350" spans="1:37">
      <c r="B350" s="44" t="s">
        <v>637</v>
      </c>
      <c r="C350" s="44" t="s">
        <v>637</v>
      </c>
      <c r="D350" s="44" t="s">
        <v>1466</v>
      </c>
      <c r="E350" s="44" t="s">
        <v>1207</v>
      </c>
      <c r="F350" s="44" t="s">
        <v>1429</v>
      </c>
      <c r="G350" s="44" t="s">
        <v>1430</v>
      </c>
      <c r="I350" s="45">
        <v>41037.502541354166</v>
      </c>
      <c r="K350" s="44" t="s">
        <v>3550</v>
      </c>
      <c r="M350" s="44" t="s">
        <v>638</v>
      </c>
      <c r="N350" s="46">
        <f>VLOOKUP(M350,'Spend Export'!$B:$E,4,FALSE)</f>
        <v>6952</v>
      </c>
      <c r="O350" s="44" t="s">
        <v>1429</v>
      </c>
      <c r="P350" s="44" t="s">
        <v>3551</v>
      </c>
      <c r="Q350" s="44" t="s">
        <v>1429</v>
      </c>
      <c r="R350" s="44" t="s">
        <v>20</v>
      </c>
      <c r="S350" s="44" t="s">
        <v>19</v>
      </c>
      <c r="T350" s="44" t="s">
        <v>1502</v>
      </c>
      <c r="U350" s="44" t="s">
        <v>1502</v>
      </c>
      <c r="V350" s="44" t="s">
        <v>3552</v>
      </c>
      <c r="W350" s="44" t="s">
        <v>3553</v>
      </c>
      <c r="X350" s="44" t="s">
        <v>1450</v>
      </c>
      <c r="Y350" s="44" t="s">
        <v>1386</v>
      </c>
      <c r="Z350" s="44" t="s">
        <v>1386</v>
      </c>
      <c r="AI350" s="44" t="s">
        <v>3554</v>
      </c>
      <c r="AK350" s="44" t="s">
        <v>638</v>
      </c>
    </row>
    <row r="351" spans="1:37">
      <c r="B351" s="44" t="s">
        <v>756</v>
      </c>
      <c r="C351" s="44" t="s">
        <v>756</v>
      </c>
      <c r="D351" s="44" t="s">
        <v>1428</v>
      </c>
      <c r="E351" s="44" t="s">
        <v>1207</v>
      </c>
      <c r="F351" s="44" t="s">
        <v>1429</v>
      </c>
      <c r="G351" s="44" t="s">
        <v>1430</v>
      </c>
      <c r="I351" s="45">
        <v>45260.388569097224</v>
      </c>
      <c r="J351" s="44" t="s">
        <v>3555</v>
      </c>
      <c r="K351" s="44" t="s">
        <v>3556</v>
      </c>
      <c r="M351" s="44" t="s">
        <v>757</v>
      </c>
      <c r="N351" s="46">
        <f>VLOOKUP(M351,'Spend Export'!$B:$E,4,FALSE)</f>
        <v>6950</v>
      </c>
      <c r="O351" s="44" t="s">
        <v>1429</v>
      </c>
      <c r="P351" s="44" t="s">
        <v>3557</v>
      </c>
      <c r="Q351" s="44" t="s">
        <v>1429</v>
      </c>
      <c r="R351" s="44" t="s">
        <v>20</v>
      </c>
      <c r="S351" s="44" t="s">
        <v>19</v>
      </c>
      <c r="T351" s="44" t="s">
        <v>1484</v>
      </c>
      <c r="U351" s="44" t="s">
        <v>1484</v>
      </c>
      <c r="V351" s="44" t="s">
        <v>3558</v>
      </c>
      <c r="W351" s="44" t="s">
        <v>3559</v>
      </c>
      <c r="X351" s="44" t="s">
        <v>1450</v>
      </c>
      <c r="Y351" s="44" t="s">
        <v>1386</v>
      </c>
      <c r="Z351" s="44" t="s">
        <v>1386</v>
      </c>
      <c r="AA351" s="44" t="s">
        <v>3560</v>
      </c>
      <c r="AI351" s="44" t="s">
        <v>3561</v>
      </c>
      <c r="AK351" s="44" t="s">
        <v>757</v>
      </c>
    </row>
    <row r="352" spans="1:37">
      <c r="B352" s="44" t="s">
        <v>976</v>
      </c>
      <c r="C352" s="44" t="s">
        <v>976</v>
      </c>
      <c r="D352" s="44" t="s">
        <v>1428</v>
      </c>
      <c r="E352" s="44" t="s">
        <v>1207</v>
      </c>
      <c r="F352" s="44" t="s">
        <v>3562</v>
      </c>
      <c r="G352" s="44" t="s">
        <v>1430</v>
      </c>
      <c r="I352" s="45">
        <v>40177.642520833331</v>
      </c>
      <c r="J352" s="44" t="s">
        <v>1981</v>
      </c>
      <c r="K352" s="44" t="s">
        <v>3563</v>
      </c>
      <c r="L352" s="44" t="s">
        <v>3564</v>
      </c>
      <c r="M352" s="44" t="s">
        <v>977</v>
      </c>
      <c r="N352" s="46">
        <f>VLOOKUP(M352,'Spend Export'!$B:$E,4,FALSE)</f>
        <v>6900</v>
      </c>
      <c r="O352" s="44" t="s">
        <v>1429</v>
      </c>
      <c r="P352" s="44" t="s">
        <v>3565</v>
      </c>
      <c r="Q352" s="44" t="s">
        <v>1429</v>
      </c>
      <c r="R352" s="44" t="s">
        <v>20</v>
      </c>
      <c r="S352" s="44" t="s">
        <v>19</v>
      </c>
      <c r="T352" s="44" t="s">
        <v>1502</v>
      </c>
      <c r="U352" s="44" t="s">
        <v>1502</v>
      </c>
      <c r="V352" s="44" t="s">
        <v>3566</v>
      </c>
      <c r="W352" s="44" t="s">
        <v>3567</v>
      </c>
      <c r="X352" s="44" t="s">
        <v>1584</v>
      </c>
      <c r="Y352" s="44" t="s">
        <v>1429</v>
      </c>
      <c r="Z352" s="44" t="s">
        <v>1429</v>
      </c>
      <c r="AI352" s="44" t="s">
        <v>3568</v>
      </c>
      <c r="AK352" s="44" t="s">
        <v>977</v>
      </c>
    </row>
    <row r="353" spans="1:37">
      <c r="B353" s="44" t="s">
        <v>1118</v>
      </c>
      <c r="C353" s="44" t="s">
        <v>1118</v>
      </c>
      <c r="D353" s="44" t="s">
        <v>1466</v>
      </c>
      <c r="E353" s="44" t="s">
        <v>1207</v>
      </c>
      <c r="F353" s="44" t="s">
        <v>1429</v>
      </c>
      <c r="G353" s="44" t="s">
        <v>1430</v>
      </c>
      <c r="I353" s="45">
        <v>44991.61423136574</v>
      </c>
      <c r="J353" s="44" t="s">
        <v>3569</v>
      </c>
      <c r="K353" s="44" t="s">
        <v>3570</v>
      </c>
      <c r="M353" s="44" t="s">
        <v>1119</v>
      </c>
      <c r="N353" s="46">
        <f>VLOOKUP(M353,'Spend Export'!$B:$E,4,FALSE)</f>
        <v>6845</v>
      </c>
      <c r="O353" s="44" t="s">
        <v>1429</v>
      </c>
      <c r="P353" s="44" t="s">
        <v>3571</v>
      </c>
      <c r="Q353" s="44" t="s">
        <v>1429</v>
      </c>
      <c r="R353" s="44" t="s">
        <v>19</v>
      </c>
      <c r="S353" s="44" t="s">
        <v>19</v>
      </c>
      <c r="T353" s="44" t="s">
        <v>3572</v>
      </c>
      <c r="U353" s="44" t="s">
        <v>1502</v>
      </c>
      <c r="V353" s="44" t="s">
        <v>3573</v>
      </c>
      <c r="W353" s="44" t="s">
        <v>3574</v>
      </c>
      <c r="X353" s="44" t="s">
        <v>1450</v>
      </c>
      <c r="Y353" s="44" t="s">
        <v>1386</v>
      </c>
      <c r="Z353" s="44" t="s">
        <v>1429</v>
      </c>
      <c r="AI353" s="44" t="s">
        <v>3575</v>
      </c>
      <c r="AK353" s="44" t="s">
        <v>1119</v>
      </c>
    </row>
    <row r="354" spans="1:37">
      <c r="B354" s="44" t="s">
        <v>3576</v>
      </c>
      <c r="C354" s="44" t="s">
        <v>149</v>
      </c>
      <c r="D354" s="44" t="s">
        <v>1428</v>
      </c>
      <c r="E354" s="44" t="s">
        <v>1207</v>
      </c>
      <c r="F354" s="44" t="s">
        <v>3577</v>
      </c>
      <c r="G354" s="44" t="s">
        <v>1430</v>
      </c>
      <c r="I354" s="45">
        <v>40676.508315162035</v>
      </c>
      <c r="K354" s="44" t="s">
        <v>3578</v>
      </c>
      <c r="M354" s="44" t="s">
        <v>150</v>
      </c>
      <c r="N354" s="46">
        <f>VLOOKUP(M354,'Spend Export'!$B:$E,4,FALSE)</f>
        <v>6838.1900000000032</v>
      </c>
      <c r="P354" s="44" t="s">
        <v>3579</v>
      </c>
      <c r="Q354" s="44" t="s">
        <v>1429</v>
      </c>
      <c r="R354" s="44" t="s">
        <v>20</v>
      </c>
      <c r="S354" s="44" t="s">
        <v>19</v>
      </c>
      <c r="T354" s="44" t="s">
        <v>1502</v>
      </c>
      <c r="U354" s="44" t="s">
        <v>1502</v>
      </c>
      <c r="V354" s="44" t="s">
        <v>3580</v>
      </c>
      <c r="W354" s="44" t="s">
        <v>3581</v>
      </c>
      <c r="X354" s="44" t="s">
        <v>1584</v>
      </c>
      <c r="Y354" s="44" t="s">
        <v>1429</v>
      </c>
      <c r="Z354" s="44" t="s">
        <v>1429</v>
      </c>
      <c r="AK354" s="44" t="s">
        <v>150</v>
      </c>
    </row>
    <row r="355" spans="1:37">
      <c r="A355" s="44" t="s">
        <v>3582</v>
      </c>
      <c r="B355" s="44" t="s">
        <v>720</v>
      </c>
      <c r="C355" s="44" t="s">
        <v>720</v>
      </c>
      <c r="D355" s="44" t="s">
        <v>1428</v>
      </c>
      <c r="E355" s="44" t="s">
        <v>1207</v>
      </c>
      <c r="F355" s="44" t="s">
        <v>3583</v>
      </c>
      <c r="G355" s="44" t="s">
        <v>1430</v>
      </c>
      <c r="H355" s="44" t="s">
        <v>1431</v>
      </c>
      <c r="I355" s="45">
        <v>37918.827145104166</v>
      </c>
      <c r="K355" s="44" t="s">
        <v>3584</v>
      </c>
      <c r="M355" s="44" t="s">
        <v>721</v>
      </c>
      <c r="N355" s="46">
        <f>VLOOKUP(M355,'Spend Export'!$B:$E,4,FALSE)</f>
        <v>6767</v>
      </c>
      <c r="O355" s="44" t="s">
        <v>1429</v>
      </c>
      <c r="P355" s="44" t="s">
        <v>3585</v>
      </c>
      <c r="Q355" s="44" t="s">
        <v>1429</v>
      </c>
      <c r="R355" s="44" t="s">
        <v>19</v>
      </c>
      <c r="S355" s="44" t="s">
        <v>19</v>
      </c>
      <c r="T355" s="44" t="s">
        <v>1964</v>
      </c>
      <c r="U355" s="44" t="s">
        <v>1964</v>
      </c>
      <c r="V355" s="44" t="s">
        <v>3586</v>
      </c>
      <c r="W355" s="44" t="s">
        <v>3587</v>
      </c>
      <c r="X355" s="44" t="s">
        <v>2451</v>
      </c>
      <c r="Y355" s="44" t="s">
        <v>1386</v>
      </c>
      <c r="Z355" s="44" t="s">
        <v>1386</v>
      </c>
      <c r="AK355" s="44" t="s">
        <v>721</v>
      </c>
    </row>
    <row r="356" spans="1:37">
      <c r="B356" s="44" t="s">
        <v>654</v>
      </c>
      <c r="C356" s="44" t="s">
        <v>654</v>
      </c>
      <c r="D356" s="44" t="s">
        <v>3588</v>
      </c>
      <c r="E356" s="44" t="s">
        <v>1207</v>
      </c>
      <c r="F356" s="44" t="s">
        <v>3589</v>
      </c>
      <c r="G356" s="44" t="s">
        <v>1430</v>
      </c>
      <c r="I356" s="45">
        <v>38301.690820949072</v>
      </c>
      <c r="K356" s="44" t="s">
        <v>3590</v>
      </c>
      <c r="M356" s="44" t="s">
        <v>655</v>
      </c>
      <c r="N356" s="46">
        <f>VLOOKUP(M356,'Spend Export'!$B:$E,4,FALSE)</f>
        <v>6760.7999999999993</v>
      </c>
      <c r="P356" s="44" t="s">
        <v>3591</v>
      </c>
      <c r="Q356" s="44" t="s">
        <v>1429</v>
      </c>
      <c r="R356" s="44" t="s">
        <v>19</v>
      </c>
      <c r="S356" s="44" t="s">
        <v>19</v>
      </c>
      <c r="T356" s="44" t="s">
        <v>1708</v>
      </c>
      <c r="U356" s="44" t="s">
        <v>1708</v>
      </c>
      <c r="V356" s="44" t="s">
        <v>3592</v>
      </c>
      <c r="W356" s="44" t="s">
        <v>3593</v>
      </c>
      <c r="X356" s="44" t="s">
        <v>1439</v>
      </c>
      <c r="Y356" s="44" t="s">
        <v>1429</v>
      </c>
      <c r="Z356" s="44" t="s">
        <v>1429</v>
      </c>
      <c r="AG356" s="44" t="s">
        <v>3219</v>
      </c>
      <c r="AK356" s="44" t="s">
        <v>655</v>
      </c>
    </row>
    <row r="357" spans="1:37">
      <c r="B357" s="44" t="s">
        <v>438</v>
      </c>
      <c r="C357" s="44" t="s">
        <v>438</v>
      </c>
      <c r="D357" s="44" t="s">
        <v>3594</v>
      </c>
      <c r="E357" s="44" t="s">
        <v>1207</v>
      </c>
      <c r="F357" s="44" t="s">
        <v>1429</v>
      </c>
      <c r="G357" s="44" t="s">
        <v>1430</v>
      </c>
      <c r="I357" s="45">
        <v>43756.56143869213</v>
      </c>
      <c r="J357" s="44" t="s">
        <v>3595</v>
      </c>
      <c r="K357" s="44" t="s">
        <v>3596</v>
      </c>
      <c r="M357" s="44" t="s">
        <v>439</v>
      </c>
      <c r="N357" s="46">
        <f>VLOOKUP(M357,'Spend Export'!$B:$E,4,FALSE)</f>
        <v>6718.36</v>
      </c>
      <c r="P357" s="44" t="s">
        <v>3597</v>
      </c>
      <c r="Q357" s="44" t="s">
        <v>1429</v>
      </c>
      <c r="R357" s="44" t="s">
        <v>20</v>
      </c>
      <c r="S357" s="44" t="s">
        <v>19</v>
      </c>
      <c r="T357" s="44" t="s">
        <v>1964</v>
      </c>
      <c r="U357" s="44" t="s">
        <v>1964</v>
      </c>
      <c r="V357" s="44" t="s">
        <v>3598</v>
      </c>
      <c r="W357" s="44" t="s">
        <v>3599</v>
      </c>
      <c r="X357" s="44" t="s">
        <v>1450</v>
      </c>
      <c r="Y357" s="44" t="s">
        <v>1429</v>
      </c>
      <c r="Z357" s="44" t="s">
        <v>1386</v>
      </c>
      <c r="AA357" s="44" t="s">
        <v>2239</v>
      </c>
      <c r="AI357" s="44" t="s">
        <v>3600</v>
      </c>
      <c r="AK357" s="44" t="s">
        <v>439</v>
      </c>
    </row>
    <row r="358" spans="1:37">
      <c r="B358" s="44" t="s">
        <v>962</v>
      </c>
      <c r="C358" s="44" t="s">
        <v>962</v>
      </c>
      <c r="D358" s="44" t="s">
        <v>1428</v>
      </c>
      <c r="E358" s="44" t="s">
        <v>1207</v>
      </c>
      <c r="F358" s="44" t="s">
        <v>3601</v>
      </c>
      <c r="G358" s="44" t="s">
        <v>1430</v>
      </c>
      <c r="I358" s="45">
        <v>43851.534750659725</v>
      </c>
      <c r="J358" s="44" t="s">
        <v>2166</v>
      </c>
      <c r="K358" s="44" t="s">
        <v>3602</v>
      </c>
      <c r="M358" s="44" t="s">
        <v>963</v>
      </c>
      <c r="N358" s="46">
        <f>VLOOKUP(M358,'Spend Export'!$B:$E,4,FALSE)</f>
        <v>6600</v>
      </c>
      <c r="O358" s="44" t="s">
        <v>1429</v>
      </c>
      <c r="P358" s="44" t="s">
        <v>3603</v>
      </c>
      <c r="Q358" s="44" t="s">
        <v>1429</v>
      </c>
      <c r="R358" s="44" t="s">
        <v>20</v>
      </c>
      <c r="S358" s="44" t="s">
        <v>19</v>
      </c>
      <c r="T358" s="44" t="s">
        <v>1556</v>
      </c>
      <c r="U358" s="44" t="s">
        <v>1556</v>
      </c>
      <c r="V358" s="44" t="s">
        <v>3604</v>
      </c>
      <c r="W358" s="44" t="s">
        <v>3605</v>
      </c>
      <c r="X358" s="44" t="s">
        <v>1450</v>
      </c>
      <c r="Y358" s="44" t="s">
        <v>1429</v>
      </c>
      <c r="Z358" s="44" t="s">
        <v>1429</v>
      </c>
      <c r="AI358" s="44" t="s">
        <v>3606</v>
      </c>
      <c r="AK358" s="44" t="s">
        <v>963</v>
      </c>
    </row>
    <row r="359" spans="1:37">
      <c r="B359" s="44" t="s">
        <v>570</v>
      </c>
      <c r="C359" s="44" t="s">
        <v>570</v>
      </c>
      <c r="D359" s="44" t="s">
        <v>3607</v>
      </c>
      <c r="E359" s="44" t="s">
        <v>1682</v>
      </c>
      <c r="F359" s="44" t="s">
        <v>1429</v>
      </c>
      <c r="G359" s="44" t="s">
        <v>1430</v>
      </c>
      <c r="I359" s="45">
        <v>44517.666260104168</v>
      </c>
      <c r="J359" s="44" t="s">
        <v>1834</v>
      </c>
      <c r="K359" s="44" t="s">
        <v>3608</v>
      </c>
      <c r="M359" s="44" t="s">
        <v>571</v>
      </c>
      <c r="N359" s="46">
        <f>VLOOKUP(M359,'Spend Export'!$B:$E,4,FALSE)</f>
        <v>6552</v>
      </c>
      <c r="O359" s="44" t="s">
        <v>1429</v>
      </c>
      <c r="P359" s="44" t="s">
        <v>3609</v>
      </c>
      <c r="Q359" s="44" t="s">
        <v>1429</v>
      </c>
      <c r="R359" s="44" t="s">
        <v>19</v>
      </c>
      <c r="S359" s="44" t="s">
        <v>19</v>
      </c>
      <c r="T359" s="44" t="s">
        <v>1708</v>
      </c>
      <c r="U359" s="44" t="s">
        <v>1708</v>
      </c>
      <c r="V359" s="44" t="s">
        <v>3610</v>
      </c>
      <c r="W359" s="44" t="s">
        <v>3611</v>
      </c>
      <c r="X359" s="44" t="s">
        <v>1450</v>
      </c>
      <c r="Y359" s="44" t="s">
        <v>1386</v>
      </c>
      <c r="Z359" s="44" t="s">
        <v>1386</v>
      </c>
      <c r="AE359" s="44" t="s">
        <v>1834</v>
      </c>
      <c r="AI359" s="44" t="s">
        <v>3612</v>
      </c>
      <c r="AK359" s="44" t="s">
        <v>571</v>
      </c>
    </row>
    <row r="360" spans="1:37">
      <c r="B360" s="44" t="s">
        <v>568</v>
      </c>
      <c r="C360" s="44" t="s">
        <v>568</v>
      </c>
      <c r="D360" s="44" t="s">
        <v>1651</v>
      </c>
      <c r="E360" s="44" t="s">
        <v>1652</v>
      </c>
      <c r="F360" s="44" t="s">
        <v>1429</v>
      </c>
      <c r="G360" s="44" t="s">
        <v>1430</v>
      </c>
      <c r="I360" s="45">
        <v>44132.561767743056</v>
      </c>
      <c r="J360" s="44" t="s">
        <v>1492</v>
      </c>
      <c r="K360" s="44" t="s">
        <v>3613</v>
      </c>
      <c r="M360" s="44" t="s">
        <v>569</v>
      </c>
      <c r="N360" s="46" t="e">
        <f>VLOOKUP(M360,'Spend Export'!$B:$E,4,FALSE)</f>
        <v>#N/A</v>
      </c>
      <c r="O360" s="44" t="s">
        <v>1429</v>
      </c>
      <c r="P360" s="44" t="s">
        <v>3614</v>
      </c>
      <c r="Q360" s="44" t="s">
        <v>1429</v>
      </c>
      <c r="R360" s="44" t="s">
        <v>20</v>
      </c>
      <c r="S360" s="44" t="s">
        <v>19</v>
      </c>
      <c r="T360" s="44" t="s">
        <v>1458</v>
      </c>
      <c r="U360" s="44" t="s">
        <v>1458</v>
      </c>
      <c r="V360" s="44" t="s">
        <v>3615</v>
      </c>
      <c r="W360" s="44" t="s">
        <v>3616</v>
      </c>
      <c r="X360" s="44" t="s">
        <v>1450</v>
      </c>
      <c r="Y360" s="44" t="s">
        <v>1429</v>
      </c>
      <c r="Z360" s="44" t="s">
        <v>1386</v>
      </c>
      <c r="AI360" s="44" t="s">
        <v>3617</v>
      </c>
      <c r="AK360" s="44" t="s">
        <v>3618</v>
      </c>
    </row>
    <row r="361" spans="1:37">
      <c r="B361" s="44" t="s">
        <v>497</v>
      </c>
      <c r="C361" s="44" t="s">
        <v>497</v>
      </c>
      <c r="D361" s="44" t="s">
        <v>1443</v>
      </c>
      <c r="E361" s="44" t="s">
        <v>1207</v>
      </c>
      <c r="F361" s="44" t="s">
        <v>3619</v>
      </c>
      <c r="G361" s="44" t="s">
        <v>1430</v>
      </c>
      <c r="I361" s="45">
        <v>44243.625018206018</v>
      </c>
      <c r="J361" s="44" t="s">
        <v>2146</v>
      </c>
      <c r="K361" s="44" t="s">
        <v>3620</v>
      </c>
      <c r="M361" s="44" t="s">
        <v>498</v>
      </c>
      <c r="N361" s="46">
        <f>VLOOKUP(M361,'Spend Export'!$B:$E,4,FALSE)</f>
        <v>6474.4900000000007</v>
      </c>
      <c r="O361" s="44" t="s">
        <v>1429</v>
      </c>
      <c r="P361" s="44" t="s">
        <v>3621</v>
      </c>
      <c r="Q361" s="44" t="s">
        <v>1429</v>
      </c>
      <c r="R361" s="44" t="s">
        <v>19</v>
      </c>
      <c r="S361" s="44" t="s">
        <v>19</v>
      </c>
      <c r="T361" s="44" t="s">
        <v>3622</v>
      </c>
      <c r="U361" s="44" t="s">
        <v>1484</v>
      </c>
      <c r="V361" s="44" t="s">
        <v>3623</v>
      </c>
      <c r="W361" s="44" t="s">
        <v>3619</v>
      </c>
      <c r="X361" s="44" t="s">
        <v>2451</v>
      </c>
      <c r="Y361" s="44" t="s">
        <v>1429</v>
      </c>
      <c r="Z361" s="44" t="s">
        <v>1429</v>
      </c>
      <c r="AG361" s="44" t="s">
        <v>3624</v>
      </c>
      <c r="AI361" s="44" t="s">
        <v>3625</v>
      </c>
      <c r="AK361" s="44" t="s">
        <v>498</v>
      </c>
    </row>
    <row r="362" spans="1:37">
      <c r="A362" s="44" t="s">
        <v>1513</v>
      </c>
      <c r="B362" s="44" t="s">
        <v>464</v>
      </c>
      <c r="C362" s="44" t="s">
        <v>464</v>
      </c>
      <c r="D362" s="44" t="s">
        <v>1514</v>
      </c>
      <c r="E362" s="44" t="s">
        <v>1515</v>
      </c>
      <c r="F362" s="44" t="s">
        <v>3626</v>
      </c>
      <c r="G362" s="44" t="s">
        <v>1430</v>
      </c>
      <c r="H362" s="44" t="s">
        <v>1431</v>
      </c>
      <c r="I362" s="45">
        <v>37918.593465740742</v>
      </c>
      <c r="K362" s="44" t="s">
        <v>3627</v>
      </c>
      <c r="M362" s="44" t="s">
        <v>465</v>
      </c>
      <c r="N362" s="46">
        <f>VLOOKUP(M362,'Spend Export'!$B:$E,4,FALSE)</f>
        <v>6320.7800000000016</v>
      </c>
      <c r="P362" s="44" t="s">
        <v>3628</v>
      </c>
      <c r="Q362" s="44" t="s">
        <v>1429</v>
      </c>
      <c r="R362" s="44" t="s">
        <v>20</v>
      </c>
      <c r="S362" s="44" t="s">
        <v>19</v>
      </c>
      <c r="T362" s="44" t="s">
        <v>1519</v>
      </c>
      <c r="U362" s="44" t="s">
        <v>1519</v>
      </c>
      <c r="V362" s="44" t="s">
        <v>3629</v>
      </c>
      <c r="W362" s="44" t="s">
        <v>3626</v>
      </c>
      <c r="X362" s="44" t="s">
        <v>1439</v>
      </c>
      <c r="Y362" s="44" t="s">
        <v>1386</v>
      </c>
      <c r="Z362" s="44" t="s">
        <v>1429</v>
      </c>
      <c r="AI362" s="44" t="s">
        <v>3630</v>
      </c>
      <c r="AK362" s="44" t="s">
        <v>465</v>
      </c>
    </row>
    <row r="363" spans="1:37">
      <c r="B363" s="44" t="s">
        <v>1154</v>
      </c>
      <c r="C363" s="44" t="s">
        <v>3631</v>
      </c>
      <c r="D363" s="44" t="s">
        <v>3632</v>
      </c>
      <c r="E363" s="44" t="s">
        <v>1572</v>
      </c>
      <c r="F363" s="44" t="s">
        <v>1429</v>
      </c>
      <c r="G363" s="44" t="s">
        <v>1430</v>
      </c>
      <c r="I363" s="45">
        <v>37918.874440312502</v>
      </c>
      <c r="K363" s="44" t="s">
        <v>3633</v>
      </c>
      <c r="L363" s="44" t="s">
        <v>3634</v>
      </c>
      <c r="M363" s="44" t="s">
        <v>1155</v>
      </c>
      <c r="N363" s="46">
        <f>VLOOKUP(M363,'Spend Export'!$B:$E,4,FALSE)</f>
        <v>6295.02</v>
      </c>
      <c r="P363" s="44" t="s">
        <v>1429</v>
      </c>
      <c r="Q363" s="44" t="s">
        <v>1429</v>
      </c>
      <c r="R363" s="44" t="s">
        <v>20</v>
      </c>
      <c r="S363" s="44" t="s">
        <v>19</v>
      </c>
      <c r="T363" s="44" t="s">
        <v>1964</v>
      </c>
      <c r="U363" s="44" t="s">
        <v>1964</v>
      </c>
      <c r="V363" s="44" t="s">
        <v>3635</v>
      </c>
      <c r="W363" s="44" t="s">
        <v>3636</v>
      </c>
      <c r="X363" s="44" t="s">
        <v>1439</v>
      </c>
      <c r="Y363" s="44" t="s">
        <v>1429</v>
      </c>
      <c r="Z363" s="44" t="s">
        <v>1386</v>
      </c>
      <c r="AI363" s="44" t="s">
        <v>3637</v>
      </c>
      <c r="AK363" s="44" t="s">
        <v>1155</v>
      </c>
    </row>
    <row r="364" spans="1:37">
      <c r="B364" s="44" t="s">
        <v>362</v>
      </c>
      <c r="C364" s="44" t="s">
        <v>362</v>
      </c>
      <c r="D364" s="44" t="s">
        <v>2693</v>
      </c>
      <c r="E364" s="44" t="s">
        <v>1207</v>
      </c>
      <c r="F364" s="44" t="s">
        <v>3638</v>
      </c>
      <c r="G364" s="44" t="s">
        <v>1430</v>
      </c>
      <c r="I364" s="45">
        <v>44281.446645717595</v>
      </c>
      <c r="J364" s="44" t="s">
        <v>2850</v>
      </c>
      <c r="K364" s="44" t="s">
        <v>3639</v>
      </c>
      <c r="M364" s="44" t="s">
        <v>363</v>
      </c>
      <c r="N364" s="46" t="e">
        <f>VLOOKUP(M364,'Spend Export'!$B:$E,4,FALSE)</f>
        <v>#N/A</v>
      </c>
      <c r="P364" s="44" t="s">
        <v>3640</v>
      </c>
      <c r="Q364" s="44" t="s">
        <v>1429</v>
      </c>
      <c r="R364" s="44" t="s">
        <v>19</v>
      </c>
      <c r="S364" s="44" t="s">
        <v>19</v>
      </c>
      <c r="T364" s="44" t="s">
        <v>1458</v>
      </c>
      <c r="U364" s="44" t="s">
        <v>1458</v>
      </c>
      <c r="V364" s="44" t="s">
        <v>3641</v>
      </c>
      <c r="W364" s="44" t="s">
        <v>3642</v>
      </c>
      <c r="X364" s="44" t="s">
        <v>1584</v>
      </c>
      <c r="Y364" s="44" t="s">
        <v>1386</v>
      </c>
      <c r="Z364" s="44" t="s">
        <v>1386</v>
      </c>
      <c r="AG364" s="44" t="s">
        <v>3643</v>
      </c>
      <c r="AI364" s="44" t="s">
        <v>3644</v>
      </c>
      <c r="AK364" s="44" t="s">
        <v>363</v>
      </c>
    </row>
    <row r="365" spans="1:37">
      <c r="B365" s="44" t="s">
        <v>404</v>
      </c>
      <c r="C365" s="44" t="s">
        <v>404</v>
      </c>
      <c r="D365" s="44" t="s">
        <v>3645</v>
      </c>
      <c r="E365" s="44" t="s">
        <v>1207</v>
      </c>
      <c r="F365" s="44" t="s">
        <v>3646</v>
      </c>
      <c r="G365" s="44" t="s">
        <v>1430</v>
      </c>
      <c r="I365" s="45">
        <v>39623.722970717594</v>
      </c>
      <c r="K365" s="44" t="s">
        <v>3647</v>
      </c>
      <c r="M365" s="44" t="s">
        <v>405</v>
      </c>
      <c r="N365" s="46">
        <f>VLOOKUP(M365,'Spend Export'!$B:$E,4,FALSE)</f>
        <v>6203.6100000000006</v>
      </c>
      <c r="P365" s="44" t="s">
        <v>3648</v>
      </c>
      <c r="Q365" s="44" t="s">
        <v>1429</v>
      </c>
      <c r="R365" s="44" t="s">
        <v>20</v>
      </c>
      <c r="S365" s="44" t="s">
        <v>19</v>
      </c>
      <c r="T365" s="44" t="s">
        <v>1519</v>
      </c>
      <c r="U365" s="44" t="s">
        <v>1519</v>
      </c>
      <c r="X365" s="44" t="s">
        <v>1439</v>
      </c>
      <c r="Y365" s="44" t="s">
        <v>1429</v>
      </c>
      <c r="Z365" s="44" t="s">
        <v>1429</v>
      </c>
      <c r="AK365" s="44" t="s">
        <v>405</v>
      </c>
    </row>
    <row r="366" spans="1:37">
      <c r="B366" s="44" t="s">
        <v>510</v>
      </c>
      <c r="C366" s="44" t="s">
        <v>510</v>
      </c>
      <c r="D366" s="44" t="s">
        <v>3649</v>
      </c>
      <c r="E366" s="44" t="s">
        <v>1499</v>
      </c>
      <c r="G366" s="44" t="s">
        <v>1430</v>
      </c>
      <c r="I366" s="45">
        <v>44700.536905127316</v>
      </c>
      <c r="J366" s="44" t="s">
        <v>1756</v>
      </c>
      <c r="K366" s="44" t="s">
        <v>3650</v>
      </c>
      <c r="M366" s="44" t="s">
        <v>511</v>
      </c>
      <c r="N366" s="46" t="e">
        <f>VLOOKUP(M366,'Spend Export'!$B:$E,4,FALSE)</f>
        <v>#N/A</v>
      </c>
      <c r="P366" s="44" t="s">
        <v>3651</v>
      </c>
      <c r="Q366" s="44" t="s">
        <v>1429</v>
      </c>
      <c r="R366" s="44" t="s">
        <v>20</v>
      </c>
      <c r="S366" s="44" t="s">
        <v>19</v>
      </c>
      <c r="T366" s="44" t="s">
        <v>1458</v>
      </c>
      <c r="U366" s="44" t="s">
        <v>1458</v>
      </c>
      <c r="X366" s="44" t="s">
        <v>1450</v>
      </c>
      <c r="Y366" s="44" t="s">
        <v>1429</v>
      </c>
      <c r="Z366" s="44" t="s">
        <v>1429</v>
      </c>
      <c r="AA366" s="44" t="s">
        <v>1761</v>
      </c>
      <c r="AI366" s="44" t="s">
        <v>3652</v>
      </c>
      <c r="AK366" s="44" t="s">
        <v>511</v>
      </c>
    </row>
    <row r="367" spans="1:37">
      <c r="B367" s="44" t="s">
        <v>490</v>
      </c>
      <c r="C367" s="44" t="s">
        <v>490</v>
      </c>
      <c r="D367" s="44" t="s">
        <v>3653</v>
      </c>
      <c r="E367" s="44" t="s">
        <v>1652</v>
      </c>
      <c r="F367" s="44" t="s">
        <v>3654</v>
      </c>
      <c r="G367" s="44" t="s">
        <v>1430</v>
      </c>
      <c r="I367" s="45">
        <v>37918.582681168984</v>
      </c>
      <c r="K367" s="44" t="s">
        <v>3655</v>
      </c>
      <c r="L367" s="44" t="s">
        <v>3656</v>
      </c>
      <c r="M367" s="44" t="s">
        <v>491</v>
      </c>
      <c r="N367" s="46">
        <f>VLOOKUP(M367,'Spend Export'!$B:$E,4,FALSE)</f>
        <v>6137.0600000000013</v>
      </c>
      <c r="P367" s="44" t="s">
        <v>3657</v>
      </c>
      <c r="Q367" s="44" t="s">
        <v>1429</v>
      </c>
      <c r="R367" s="44" t="s">
        <v>19</v>
      </c>
      <c r="S367" s="44" t="s">
        <v>19</v>
      </c>
      <c r="T367" s="44" t="s">
        <v>1484</v>
      </c>
      <c r="U367" s="44" t="s">
        <v>1484</v>
      </c>
      <c r="V367" s="44" t="s">
        <v>3658</v>
      </c>
      <c r="W367" s="44" t="s">
        <v>3654</v>
      </c>
      <c r="X367" s="44" t="s">
        <v>1439</v>
      </c>
      <c r="Y367" s="44" t="s">
        <v>1386</v>
      </c>
      <c r="Z367" s="44" t="s">
        <v>1386</v>
      </c>
      <c r="AG367" s="44" t="s">
        <v>3659</v>
      </c>
      <c r="AK367" s="44" t="s">
        <v>491</v>
      </c>
    </row>
    <row r="368" spans="1:37">
      <c r="B368" s="44" t="s">
        <v>1138</v>
      </c>
      <c r="C368" s="44" t="s">
        <v>1138</v>
      </c>
      <c r="D368" s="44" t="s">
        <v>1466</v>
      </c>
      <c r="E368" s="44" t="s">
        <v>1207</v>
      </c>
      <c r="F368" s="44" t="s">
        <v>3660</v>
      </c>
      <c r="G368" s="44" t="s">
        <v>1430</v>
      </c>
      <c r="I368" s="45">
        <v>39608.592660034723</v>
      </c>
      <c r="K368" s="44" t="s">
        <v>3661</v>
      </c>
      <c r="M368" s="44" t="s">
        <v>1139</v>
      </c>
      <c r="N368" s="46">
        <f>VLOOKUP(M368,'Spend Export'!$B:$E,4,FALSE)</f>
        <v>6000</v>
      </c>
      <c r="O368" s="44" t="s">
        <v>1429</v>
      </c>
      <c r="P368" s="44" t="s">
        <v>3662</v>
      </c>
      <c r="Q368" s="44" t="s">
        <v>1429</v>
      </c>
      <c r="R368" s="44" t="s">
        <v>19</v>
      </c>
      <c r="S368" s="44" t="s">
        <v>19</v>
      </c>
      <c r="T368" s="44" t="s">
        <v>1484</v>
      </c>
      <c r="U368" s="44" t="s">
        <v>1484</v>
      </c>
      <c r="V368" s="44" t="s">
        <v>3663</v>
      </c>
      <c r="W368" s="44" t="s">
        <v>3664</v>
      </c>
      <c r="X368" s="44" t="s">
        <v>1439</v>
      </c>
      <c r="Y368" s="44" t="s">
        <v>1429</v>
      </c>
      <c r="Z368" s="44" t="s">
        <v>1386</v>
      </c>
      <c r="AI368" s="44" t="s">
        <v>3665</v>
      </c>
      <c r="AK368" s="44" t="s">
        <v>1139</v>
      </c>
    </row>
    <row r="369" spans="1:37">
      <c r="B369" s="44" t="s">
        <v>890</v>
      </c>
      <c r="C369" s="44" t="s">
        <v>890</v>
      </c>
      <c r="D369" s="44" t="s">
        <v>3666</v>
      </c>
      <c r="E369" s="44" t="s">
        <v>2005</v>
      </c>
      <c r="F369" s="44" t="s">
        <v>1429</v>
      </c>
      <c r="G369" s="44" t="s">
        <v>1430</v>
      </c>
      <c r="I369" s="45">
        <v>38825.399157141204</v>
      </c>
      <c r="J369" s="44" t="s">
        <v>2574</v>
      </c>
      <c r="K369" s="44" t="s">
        <v>3667</v>
      </c>
      <c r="M369" s="44" t="s">
        <v>891</v>
      </c>
      <c r="N369" s="46">
        <f>VLOOKUP(M369,'Spend Export'!$B:$E,4,FALSE)</f>
        <v>6000</v>
      </c>
      <c r="O369" s="44" t="s">
        <v>1429</v>
      </c>
      <c r="P369" s="44" t="s">
        <v>3668</v>
      </c>
      <c r="Q369" s="44" t="s">
        <v>1429</v>
      </c>
      <c r="R369" s="44" t="s">
        <v>20</v>
      </c>
      <c r="S369" s="44" t="s">
        <v>19</v>
      </c>
      <c r="T369" s="44" t="s">
        <v>1519</v>
      </c>
      <c r="U369" s="44" t="s">
        <v>1519</v>
      </c>
      <c r="V369" s="44" t="s">
        <v>3669</v>
      </c>
      <c r="W369" s="44" t="s">
        <v>3670</v>
      </c>
      <c r="X369" s="44" t="s">
        <v>1450</v>
      </c>
      <c r="Y369" s="44" t="s">
        <v>1429</v>
      </c>
      <c r="Z369" s="44" t="s">
        <v>1429</v>
      </c>
      <c r="AH369" s="44" t="s">
        <v>2580</v>
      </c>
      <c r="AI369" s="44" t="s">
        <v>3671</v>
      </c>
      <c r="AK369" s="44" t="s">
        <v>891</v>
      </c>
    </row>
    <row r="370" spans="1:37">
      <c r="B370" s="44" t="s">
        <v>898</v>
      </c>
      <c r="C370" s="44" t="s">
        <v>898</v>
      </c>
      <c r="D370" s="44" t="s">
        <v>3672</v>
      </c>
      <c r="E370" s="44" t="s">
        <v>1207</v>
      </c>
      <c r="F370" s="44" t="s">
        <v>1429</v>
      </c>
      <c r="G370" s="44" t="s">
        <v>1430</v>
      </c>
      <c r="I370" s="45">
        <v>45058.621263460649</v>
      </c>
      <c r="J370" s="44" t="s">
        <v>2813</v>
      </c>
      <c r="K370" s="44" t="s">
        <v>3673</v>
      </c>
      <c r="M370" s="44" t="s">
        <v>899</v>
      </c>
      <c r="N370" s="46">
        <f>VLOOKUP(M370,'Spend Export'!$B:$E,4,FALSE)</f>
        <v>5662.45</v>
      </c>
      <c r="O370" s="44" t="s">
        <v>1429</v>
      </c>
      <c r="P370" s="44" t="s">
        <v>3674</v>
      </c>
      <c r="Q370" s="44" t="s">
        <v>1429</v>
      </c>
      <c r="R370" s="44" t="s">
        <v>20</v>
      </c>
      <c r="S370" s="44" t="s">
        <v>19</v>
      </c>
      <c r="T370" s="44" t="s">
        <v>1502</v>
      </c>
      <c r="U370" s="44" t="s">
        <v>1502</v>
      </c>
      <c r="V370" s="44" t="s">
        <v>3675</v>
      </c>
      <c r="W370" s="44" t="s">
        <v>3676</v>
      </c>
      <c r="X370" s="44" t="s">
        <v>1450</v>
      </c>
      <c r="Y370" s="44" t="s">
        <v>1429</v>
      </c>
      <c r="Z370" s="44" t="s">
        <v>1429</v>
      </c>
      <c r="AI370" s="44" t="s">
        <v>3677</v>
      </c>
      <c r="AK370" s="44" t="s">
        <v>899</v>
      </c>
    </row>
    <row r="371" spans="1:37">
      <c r="B371" s="44" t="s">
        <v>641</v>
      </c>
      <c r="C371" s="44" t="s">
        <v>641</v>
      </c>
      <c r="D371" s="44" t="s">
        <v>1522</v>
      </c>
      <c r="E371" s="44" t="s">
        <v>1207</v>
      </c>
      <c r="F371" s="44" t="s">
        <v>1429</v>
      </c>
      <c r="G371" s="44" t="s">
        <v>1430</v>
      </c>
      <c r="I371" s="45">
        <v>44671.403361539349</v>
      </c>
      <c r="J371" s="44" t="s">
        <v>2146</v>
      </c>
      <c r="K371" s="44" t="s">
        <v>3678</v>
      </c>
      <c r="L371" s="44" t="s">
        <v>3679</v>
      </c>
      <c r="M371" s="44" t="s">
        <v>642</v>
      </c>
      <c r="N371" s="46">
        <f>VLOOKUP(M371,'Spend Export'!$B:$E,4,FALSE)</f>
        <v>5630.3</v>
      </c>
      <c r="O371" s="44" t="s">
        <v>1429</v>
      </c>
      <c r="P371" s="44" t="s">
        <v>3680</v>
      </c>
      <c r="Q371" s="44" t="s">
        <v>1429</v>
      </c>
      <c r="R371" s="44" t="s">
        <v>20</v>
      </c>
      <c r="S371" s="44" t="s">
        <v>19</v>
      </c>
      <c r="T371" s="44" t="s">
        <v>3681</v>
      </c>
      <c r="U371" s="44" t="s">
        <v>1484</v>
      </c>
      <c r="V371" s="44" t="s">
        <v>3682</v>
      </c>
      <c r="W371" s="44" t="s">
        <v>3683</v>
      </c>
      <c r="X371" s="44" t="s">
        <v>1450</v>
      </c>
      <c r="Y371" s="44" t="s">
        <v>1386</v>
      </c>
      <c r="Z371" s="44" t="s">
        <v>1429</v>
      </c>
      <c r="AI371" s="44" t="s">
        <v>3684</v>
      </c>
      <c r="AK371" s="44" t="s">
        <v>642</v>
      </c>
    </row>
    <row r="372" spans="1:37">
      <c r="B372" s="44" t="s">
        <v>1102</v>
      </c>
      <c r="C372" s="44" t="s">
        <v>1102</v>
      </c>
      <c r="D372" s="44" t="s">
        <v>3685</v>
      </c>
      <c r="E372" s="44" t="s">
        <v>1572</v>
      </c>
      <c r="F372" s="44" t="s">
        <v>1429</v>
      </c>
      <c r="G372" s="44" t="s">
        <v>1430</v>
      </c>
      <c r="I372" s="45">
        <v>45229.744465011572</v>
      </c>
      <c r="J372" s="44" t="s">
        <v>3345</v>
      </c>
      <c r="K372" s="44" t="s">
        <v>3686</v>
      </c>
      <c r="M372" s="44" t="s">
        <v>1103</v>
      </c>
      <c r="N372" s="46">
        <f>VLOOKUP(M372,'Spend Export'!$B:$E,4,FALSE)</f>
        <v>5502.84</v>
      </c>
      <c r="O372" s="44" t="s">
        <v>1429</v>
      </c>
      <c r="P372" s="44" t="s">
        <v>1429</v>
      </c>
      <c r="Q372" s="44" t="s">
        <v>1429</v>
      </c>
      <c r="R372" s="44" t="s">
        <v>20</v>
      </c>
      <c r="S372" s="44" t="s">
        <v>19</v>
      </c>
      <c r="T372" s="44" t="s">
        <v>1484</v>
      </c>
      <c r="U372" s="44" t="s">
        <v>1484</v>
      </c>
      <c r="V372" s="44" t="s">
        <v>3687</v>
      </c>
      <c r="W372" s="44" t="s">
        <v>3688</v>
      </c>
      <c r="X372" s="44" t="s">
        <v>2775</v>
      </c>
      <c r="Y372" s="44" t="s">
        <v>1429</v>
      </c>
      <c r="Z372" s="44" t="s">
        <v>1429</v>
      </c>
      <c r="AI372" s="44" t="s">
        <v>3689</v>
      </c>
      <c r="AK372" s="44" t="s">
        <v>1103</v>
      </c>
    </row>
    <row r="373" spans="1:37">
      <c r="B373" s="44" t="s">
        <v>605</v>
      </c>
      <c r="C373" s="44" t="s">
        <v>605</v>
      </c>
      <c r="D373" s="44" t="s">
        <v>1466</v>
      </c>
      <c r="E373" s="44" t="s">
        <v>1207</v>
      </c>
      <c r="F373" s="44" t="s">
        <v>1429</v>
      </c>
      <c r="G373" s="44" t="s">
        <v>1430</v>
      </c>
      <c r="I373" s="45">
        <v>41137.403271446761</v>
      </c>
      <c r="K373" s="44" t="s">
        <v>3690</v>
      </c>
      <c r="M373" s="44" t="s">
        <v>606</v>
      </c>
      <c r="N373" s="46" t="e">
        <f>VLOOKUP(M373,'Spend Export'!$B:$E,4,FALSE)</f>
        <v>#N/A</v>
      </c>
      <c r="P373" s="44" t="s">
        <v>3691</v>
      </c>
      <c r="Q373" s="44" t="s">
        <v>1429</v>
      </c>
      <c r="R373" s="44" t="s">
        <v>20</v>
      </c>
      <c r="S373" s="44" t="s">
        <v>20</v>
      </c>
      <c r="T373" s="44" t="s">
        <v>1458</v>
      </c>
      <c r="U373" s="44" t="s">
        <v>1458</v>
      </c>
      <c r="X373" s="44" t="s">
        <v>1439</v>
      </c>
      <c r="Y373" s="44" t="s">
        <v>1429</v>
      </c>
      <c r="Z373" s="44" t="s">
        <v>1429</v>
      </c>
      <c r="AK373" s="44" t="s">
        <v>606</v>
      </c>
    </row>
    <row r="374" spans="1:37">
      <c r="B374" s="44" t="s">
        <v>988</v>
      </c>
      <c r="C374" s="44" t="s">
        <v>988</v>
      </c>
      <c r="D374" s="44" t="s">
        <v>3458</v>
      </c>
      <c r="E374" s="44" t="s">
        <v>1207</v>
      </c>
      <c r="F374" s="44" t="s">
        <v>1429</v>
      </c>
      <c r="G374" s="44" t="s">
        <v>1430</v>
      </c>
      <c r="I374" s="45">
        <v>44733.562046874998</v>
      </c>
      <c r="J374" s="44" t="s">
        <v>3692</v>
      </c>
      <c r="K374" s="44" t="s">
        <v>3693</v>
      </c>
      <c r="M374" s="44" t="s">
        <v>989</v>
      </c>
      <c r="N374" s="46">
        <f>VLOOKUP(M374,'Spend Export'!$B:$E,4,FALSE)</f>
        <v>5155.5</v>
      </c>
      <c r="O374" s="44" t="s">
        <v>1429</v>
      </c>
      <c r="P374" s="44" t="s">
        <v>3694</v>
      </c>
      <c r="Q374" s="44" t="s">
        <v>1429</v>
      </c>
      <c r="R374" s="44" t="s">
        <v>20</v>
      </c>
      <c r="S374" s="44" t="s">
        <v>19</v>
      </c>
      <c r="T374" s="44" t="s">
        <v>1484</v>
      </c>
      <c r="U374" s="44" t="s">
        <v>1484</v>
      </c>
      <c r="V374" s="44" t="s">
        <v>3695</v>
      </c>
      <c r="W374" s="44" t="s">
        <v>3696</v>
      </c>
      <c r="X374" s="44" t="s">
        <v>1461</v>
      </c>
      <c r="Y374" s="44" t="s">
        <v>1429</v>
      </c>
      <c r="Z374" s="44" t="s">
        <v>1429</v>
      </c>
      <c r="AI374" s="44" t="s">
        <v>3697</v>
      </c>
      <c r="AK374" s="44" t="s">
        <v>989</v>
      </c>
    </row>
    <row r="375" spans="1:37">
      <c r="B375" s="44" t="s">
        <v>556</v>
      </c>
      <c r="C375" s="44" t="s">
        <v>556</v>
      </c>
      <c r="D375" s="44" t="s">
        <v>1428</v>
      </c>
      <c r="E375" s="44" t="s">
        <v>1207</v>
      </c>
      <c r="F375" s="44" t="s">
        <v>1429</v>
      </c>
      <c r="G375" s="44" t="s">
        <v>1430</v>
      </c>
      <c r="I375" s="45">
        <v>44837.318120833334</v>
      </c>
      <c r="J375" s="44" t="s">
        <v>1756</v>
      </c>
      <c r="K375" s="44" t="s">
        <v>3698</v>
      </c>
      <c r="M375" s="44" t="s">
        <v>557</v>
      </c>
      <c r="N375" s="46">
        <f>VLOOKUP(M375,'Spend Export'!$B:$E,4,FALSE)</f>
        <v>5072</v>
      </c>
      <c r="O375" s="44" t="s">
        <v>1429</v>
      </c>
      <c r="P375" s="44" t="s">
        <v>3699</v>
      </c>
      <c r="Q375" s="44" t="s">
        <v>1429</v>
      </c>
      <c r="R375" s="44" t="s">
        <v>20</v>
      </c>
      <c r="S375" s="44" t="s">
        <v>20</v>
      </c>
      <c r="T375" s="44" t="s">
        <v>1484</v>
      </c>
      <c r="U375" s="44" t="s">
        <v>1484</v>
      </c>
      <c r="V375" s="44" t="s">
        <v>3700</v>
      </c>
      <c r="W375" s="44" t="s">
        <v>3701</v>
      </c>
      <c r="X375" s="44" t="s">
        <v>1450</v>
      </c>
      <c r="Y375" s="44" t="s">
        <v>1386</v>
      </c>
      <c r="Z375" s="44" t="s">
        <v>1429</v>
      </c>
      <c r="AI375" s="44" t="s">
        <v>3702</v>
      </c>
      <c r="AK375" s="44" t="s">
        <v>557</v>
      </c>
    </row>
    <row r="376" spans="1:37">
      <c r="B376" s="44" t="s">
        <v>954</v>
      </c>
      <c r="C376" s="44" t="s">
        <v>954</v>
      </c>
      <c r="D376" s="44" t="s">
        <v>1466</v>
      </c>
      <c r="E376" s="44" t="s">
        <v>1207</v>
      </c>
      <c r="F376" s="44" t="s">
        <v>1429</v>
      </c>
      <c r="G376" s="44" t="s">
        <v>1430</v>
      </c>
      <c r="I376" s="45">
        <v>44827.516930092592</v>
      </c>
      <c r="J376" s="44" t="s">
        <v>1687</v>
      </c>
      <c r="K376" s="44" t="s">
        <v>3703</v>
      </c>
      <c r="M376" s="44" t="s">
        <v>955</v>
      </c>
      <c r="N376" s="46" t="e">
        <f>VLOOKUP(M376,'Spend Export'!$B:$E,4,FALSE)</f>
        <v>#N/A</v>
      </c>
      <c r="O376" s="44" t="s">
        <v>1429</v>
      </c>
      <c r="P376" s="44" t="s">
        <v>3704</v>
      </c>
      <c r="Q376" s="44" t="s">
        <v>1429</v>
      </c>
      <c r="R376" s="44" t="s">
        <v>20</v>
      </c>
      <c r="S376" s="44" t="s">
        <v>19</v>
      </c>
      <c r="T376" s="44" t="s">
        <v>1458</v>
      </c>
      <c r="U376" s="44" t="s">
        <v>1458</v>
      </c>
      <c r="V376" s="44" t="s">
        <v>3705</v>
      </c>
      <c r="W376" s="44" t="s">
        <v>3706</v>
      </c>
      <c r="X376" s="44" t="s">
        <v>1450</v>
      </c>
      <c r="Y376" s="44" t="s">
        <v>1429</v>
      </c>
      <c r="Z376" s="44" t="s">
        <v>1386</v>
      </c>
      <c r="AA376" s="44" t="s">
        <v>3707</v>
      </c>
      <c r="AI376" s="44" t="s">
        <v>3708</v>
      </c>
      <c r="AK376" s="44" t="s">
        <v>955</v>
      </c>
    </row>
    <row r="377" spans="1:37">
      <c r="B377" s="44" t="s">
        <v>566</v>
      </c>
      <c r="C377" s="44" t="s">
        <v>566</v>
      </c>
      <c r="D377" s="44" t="s">
        <v>1522</v>
      </c>
      <c r="E377" s="44" t="s">
        <v>1207</v>
      </c>
      <c r="F377" s="44" t="s">
        <v>3709</v>
      </c>
      <c r="G377" s="44" t="s">
        <v>1430</v>
      </c>
      <c r="I377" s="45">
        <v>43661.61592989583</v>
      </c>
      <c r="J377" s="44" t="s">
        <v>3710</v>
      </c>
      <c r="K377" s="44" t="s">
        <v>3711</v>
      </c>
      <c r="M377" s="44" t="s">
        <v>567</v>
      </c>
      <c r="N377" s="46">
        <f>VLOOKUP(M377,'Spend Export'!$B:$E,4,FALSE)</f>
        <v>4980</v>
      </c>
      <c r="P377" s="44" t="s">
        <v>3712</v>
      </c>
      <c r="Q377" s="44" t="s">
        <v>1429</v>
      </c>
      <c r="R377" s="44" t="s">
        <v>20</v>
      </c>
      <c r="S377" s="44" t="s">
        <v>19</v>
      </c>
      <c r="T377" s="44" t="s">
        <v>1502</v>
      </c>
      <c r="U377" s="44" t="s">
        <v>1502</v>
      </c>
      <c r="V377" s="44" t="s">
        <v>3713</v>
      </c>
      <c r="W377" s="44" t="s">
        <v>3714</v>
      </c>
      <c r="X377" s="44" t="s">
        <v>1450</v>
      </c>
      <c r="Y377" s="44" t="s">
        <v>1386</v>
      </c>
      <c r="Z377" s="44" t="s">
        <v>1386</v>
      </c>
      <c r="AI377" s="44" t="s">
        <v>3715</v>
      </c>
      <c r="AK377" s="44" t="s">
        <v>567</v>
      </c>
    </row>
    <row r="378" spans="1:37">
      <c r="B378" s="44" t="s">
        <v>528</v>
      </c>
      <c r="C378" s="44" t="s">
        <v>3716</v>
      </c>
      <c r="D378" s="44" t="s">
        <v>3717</v>
      </c>
      <c r="E378" s="44" t="s">
        <v>1499</v>
      </c>
      <c r="F378" s="44" t="s">
        <v>1429</v>
      </c>
      <c r="G378" s="44" t="s">
        <v>1430</v>
      </c>
      <c r="I378" s="45">
        <v>40493.562099421295</v>
      </c>
      <c r="K378" s="44" t="s">
        <v>3718</v>
      </c>
      <c r="M378" s="44" t="s">
        <v>529</v>
      </c>
      <c r="N378" s="46">
        <f>VLOOKUP(M378,'Spend Export'!$B:$E,4,FALSE)</f>
        <v>4947.42</v>
      </c>
      <c r="O378" s="44" t="s">
        <v>1429</v>
      </c>
      <c r="P378" s="44" t="s">
        <v>3719</v>
      </c>
      <c r="Q378" s="44" t="s">
        <v>1386</v>
      </c>
      <c r="R378" s="44" t="s">
        <v>20</v>
      </c>
      <c r="S378" s="44" t="s">
        <v>19</v>
      </c>
      <c r="T378" s="44" t="s">
        <v>1502</v>
      </c>
      <c r="U378" s="44" t="s">
        <v>1502</v>
      </c>
      <c r="V378" s="44" t="s">
        <v>3720</v>
      </c>
      <c r="W378" s="44" t="s">
        <v>3721</v>
      </c>
      <c r="X378" s="44" t="s">
        <v>1450</v>
      </c>
      <c r="Y378" s="44" t="s">
        <v>1429</v>
      </c>
      <c r="Z378" s="44" t="s">
        <v>1429</v>
      </c>
      <c r="AI378" s="44" t="s">
        <v>3722</v>
      </c>
      <c r="AK378" s="44" t="s">
        <v>529</v>
      </c>
    </row>
    <row r="379" spans="1:37">
      <c r="A379" s="44" t="s">
        <v>2398</v>
      </c>
      <c r="B379" s="44" t="s">
        <v>672</v>
      </c>
      <c r="C379" s="44" t="s">
        <v>672</v>
      </c>
      <c r="D379" s="44" t="s">
        <v>2443</v>
      </c>
      <c r="E379" s="44" t="s">
        <v>2444</v>
      </c>
      <c r="F379" s="44" t="s">
        <v>1429</v>
      </c>
      <c r="G379" s="44" t="s">
        <v>1430</v>
      </c>
      <c r="H379" s="44" t="s">
        <v>1431</v>
      </c>
      <c r="I379" s="45">
        <v>39755.640005289351</v>
      </c>
      <c r="J379" s="44" t="s">
        <v>3723</v>
      </c>
      <c r="K379" s="44" t="s">
        <v>3724</v>
      </c>
      <c r="M379" s="44" t="s">
        <v>673</v>
      </c>
      <c r="N379" s="46">
        <f>VLOOKUP(M379,'Spend Export'!$B:$E,4,FALSE)</f>
        <v>4900</v>
      </c>
      <c r="O379" s="44" t="s">
        <v>1429</v>
      </c>
      <c r="P379" s="44" t="s">
        <v>3725</v>
      </c>
      <c r="Q379" s="44" t="s">
        <v>1429</v>
      </c>
      <c r="R379" s="44" t="s">
        <v>20</v>
      </c>
      <c r="S379" s="44" t="s">
        <v>19</v>
      </c>
      <c r="T379" s="44" t="s">
        <v>1484</v>
      </c>
      <c r="U379" s="44" t="s">
        <v>1484</v>
      </c>
      <c r="X379" s="44" t="s">
        <v>1450</v>
      </c>
      <c r="Y379" s="44" t="s">
        <v>1429</v>
      </c>
      <c r="Z379" s="44" t="s">
        <v>1429</v>
      </c>
      <c r="AI379" s="44" t="s">
        <v>3726</v>
      </c>
      <c r="AK379" s="44" t="s">
        <v>673</v>
      </c>
    </row>
    <row r="380" spans="1:37">
      <c r="B380" s="44" t="s">
        <v>1140</v>
      </c>
      <c r="C380" s="44" t="s">
        <v>1140</v>
      </c>
      <c r="D380" s="44" t="s">
        <v>3727</v>
      </c>
      <c r="E380" s="44" t="s">
        <v>1682</v>
      </c>
      <c r="F380" s="44" t="s">
        <v>3728</v>
      </c>
      <c r="G380" s="44" t="s">
        <v>1430</v>
      </c>
      <c r="I380" s="45">
        <v>42199.686460960649</v>
      </c>
      <c r="K380" s="44" t="s">
        <v>3729</v>
      </c>
      <c r="M380" s="44" t="s">
        <v>1141</v>
      </c>
      <c r="N380" s="46">
        <f>VLOOKUP(M380,'Spend Export'!$B:$E,4,FALSE)</f>
        <v>4875.5</v>
      </c>
      <c r="P380" s="44" t="s">
        <v>3730</v>
      </c>
      <c r="Q380" s="44" t="s">
        <v>1386</v>
      </c>
      <c r="R380" s="44" t="s">
        <v>20</v>
      </c>
      <c r="S380" s="44" t="s">
        <v>19</v>
      </c>
      <c r="T380" s="44" t="s">
        <v>1484</v>
      </c>
      <c r="U380" s="44" t="s">
        <v>1484</v>
      </c>
      <c r="V380" s="44" t="s">
        <v>3731</v>
      </c>
      <c r="W380" s="44" t="s">
        <v>3732</v>
      </c>
      <c r="X380" s="44" t="s">
        <v>1439</v>
      </c>
      <c r="Y380" s="44" t="s">
        <v>1386</v>
      </c>
      <c r="Z380" s="44" t="s">
        <v>1429</v>
      </c>
      <c r="AE380" s="44" t="s">
        <v>1834</v>
      </c>
      <c r="AI380" s="44" t="s">
        <v>3733</v>
      </c>
      <c r="AK380" s="44" t="s">
        <v>1141</v>
      </c>
    </row>
    <row r="381" spans="1:37">
      <c r="B381" s="44" t="s">
        <v>688</v>
      </c>
      <c r="C381" s="44" t="s">
        <v>688</v>
      </c>
      <c r="D381" s="44" t="s">
        <v>2391</v>
      </c>
      <c r="E381" s="44" t="s">
        <v>1617</v>
      </c>
      <c r="F381" s="44" t="s">
        <v>3734</v>
      </c>
      <c r="G381" s="44" t="s">
        <v>1430</v>
      </c>
      <c r="I381" s="45">
        <v>39566.419212384259</v>
      </c>
      <c r="K381" s="44" t="s">
        <v>3735</v>
      </c>
      <c r="M381" s="44" t="s">
        <v>689</v>
      </c>
      <c r="N381" s="46">
        <f>VLOOKUP(M381,'Spend Export'!$B:$E,4,FALSE)</f>
        <v>4851.9000000000005</v>
      </c>
      <c r="P381" s="44" t="s">
        <v>3736</v>
      </c>
      <c r="Q381" s="44" t="s">
        <v>1429</v>
      </c>
      <c r="R381" s="44" t="s">
        <v>20</v>
      </c>
      <c r="S381" s="44" t="s">
        <v>19</v>
      </c>
      <c r="T381" s="44" t="s">
        <v>1484</v>
      </c>
      <c r="U381" s="44" t="s">
        <v>1484</v>
      </c>
      <c r="X381" s="44" t="s">
        <v>1461</v>
      </c>
      <c r="Y381" s="44" t="s">
        <v>1429</v>
      </c>
      <c r="Z381" s="44" t="s">
        <v>1429</v>
      </c>
      <c r="AK381" s="44" t="s">
        <v>689</v>
      </c>
    </row>
    <row r="382" spans="1:37">
      <c r="B382" s="44" t="s">
        <v>764</v>
      </c>
      <c r="C382" s="44" t="s">
        <v>764</v>
      </c>
      <c r="D382" s="44" t="s">
        <v>1428</v>
      </c>
      <c r="E382" s="44" t="s">
        <v>1207</v>
      </c>
      <c r="F382" s="44" t="s">
        <v>3737</v>
      </c>
      <c r="G382" s="44" t="s">
        <v>1430</v>
      </c>
      <c r="I382" s="45">
        <v>37918.571268020831</v>
      </c>
      <c r="K382" s="44" t="s">
        <v>3738</v>
      </c>
      <c r="M382" s="44" t="s">
        <v>765</v>
      </c>
      <c r="N382" s="46">
        <f>VLOOKUP(M382,'Spend Export'!$B:$E,4,FALSE)</f>
        <v>4820</v>
      </c>
      <c r="O382" s="44" t="s">
        <v>1429</v>
      </c>
      <c r="P382" s="44" t="s">
        <v>3739</v>
      </c>
      <c r="Q382" s="44" t="s">
        <v>1429</v>
      </c>
      <c r="R382" s="44" t="s">
        <v>20</v>
      </c>
      <c r="S382" s="44" t="s">
        <v>19</v>
      </c>
      <c r="T382" s="44" t="s">
        <v>1502</v>
      </c>
      <c r="U382" s="44" t="s">
        <v>1502</v>
      </c>
      <c r="X382" s="44" t="s">
        <v>1461</v>
      </c>
      <c r="Y382" s="44" t="s">
        <v>1429</v>
      </c>
      <c r="Z382" s="44" t="s">
        <v>1429</v>
      </c>
      <c r="AK382" s="44" t="s">
        <v>765</v>
      </c>
    </row>
    <row r="383" spans="1:37">
      <c r="B383" s="44" t="s">
        <v>930</v>
      </c>
      <c r="C383" s="44" t="s">
        <v>930</v>
      </c>
      <c r="D383" s="44" t="s">
        <v>3740</v>
      </c>
      <c r="E383" s="44" t="s">
        <v>1617</v>
      </c>
      <c r="F383" s="44" t="s">
        <v>1429</v>
      </c>
      <c r="G383" s="44" t="s">
        <v>1430</v>
      </c>
      <c r="I383" s="45">
        <v>44739.449217557871</v>
      </c>
      <c r="J383" s="44" t="s">
        <v>1687</v>
      </c>
      <c r="K383" s="44" t="s">
        <v>3741</v>
      </c>
      <c r="M383" s="44" t="s">
        <v>931</v>
      </c>
      <c r="N383" s="46" t="e">
        <f>VLOOKUP(M383,'Spend Export'!$B:$E,4,FALSE)</f>
        <v>#N/A</v>
      </c>
      <c r="O383" s="44" t="s">
        <v>1429</v>
      </c>
      <c r="P383" s="44" t="s">
        <v>3742</v>
      </c>
      <c r="Q383" s="44" t="s">
        <v>1429</v>
      </c>
      <c r="R383" s="44" t="s">
        <v>20</v>
      </c>
      <c r="S383" s="44" t="s">
        <v>19</v>
      </c>
      <c r="T383" s="44" t="s">
        <v>1458</v>
      </c>
      <c r="U383" s="44" t="s">
        <v>1458</v>
      </c>
      <c r="V383" s="44" t="s">
        <v>3743</v>
      </c>
      <c r="W383" s="44" t="s">
        <v>3744</v>
      </c>
      <c r="X383" s="44" t="s">
        <v>1450</v>
      </c>
      <c r="Y383" s="44" t="s">
        <v>1429</v>
      </c>
      <c r="Z383" s="44" t="s">
        <v>1386</v>
      </c>
      <c r="AA383" s="44" t="s">
        <v>1687</v>
      </c>
      <c r="AI383" s="44" t="s">
        <v>3745</v>
      </c>
      <c r="AK383" s="44" t="s">
        <v>931</v>
      </c>
    </row>
    <row r="384" spans="1:37">
      <c r="B384" s="44" t="s">
        <v>700</v>
      </c>
      <c r="C384" s="44" t="s">
        <v>700</v>
      </c>
      <c r="D384" s="44" t="s">
        <v>1466</v>
      </c>
      <c r="E384" s="44" t="s">
        <v>1207</v>
      </c>
      <c r="F384" s="44" t="s">
        <v>1429</v>
      </c>
      <c r="G384" s="44" t="s">
        <v>1430</v>
      </c>
      <c r="I384" s="45">
        <v>40844.344278935183</v>
      </c>
      <c r="K384" s="44" t="s">
        <v>3746</v>
      </c>
      <c r="M384" s="44" t="s">
        <v>701</v>
      </c>
      <c r="N384" s="46">
        <f>VLOOKUP(M384,'Spend Export'!$B:$E,4,FALSE)</f>
        <v>4715</v>
      </c>
      <c r="P384" s="44" t="s">
        <v>3747</v>
      </c>
      <c r="Q384" s="44" t="s">
        <v>1429</v>
      </c>
      <c r="R384" s="44" t="s">
        <v>19</v>
      </c>
      <c r="S384" s="44" t="s">
        <v>19</v>
      </c>
      <c r="T384" s="44" t="s">
        <v>1484</v>
      </c>
      <c r="U384" s="44" t="s">
        <v>1484</v>
      </c>
      <c r="V384" s="44" t="s">
        <v>3748</v>
      </c>
      <c r="W384" s="44" t="s">
        <v>3749</v>
      </c>
      <c r="X384" s="44" t="s">
        <v>1461</v>
      </c>
      <c r="Y384" s="44" t="s">
        <v>1429</v>
      </c>
      <c r="Z384" s="44" t="s">
        <v>1429</v>
      </c>
      <c r="AG384" s="44" t="s">
        <v>2514</v>
      </c>
      <c r="AK384" s="44" t="s">
        <v>701</v>
      </c>
    </row>
    <row r="385" spans="1:37">
      <c r="B385" s="44" t="s">
        <v>888</v>
      </c>
      <c r="C385" s="44" t="s">
        <v>3750</v>
      </c>
      <c r="D385" s="44" t="s">
        <v>1769</v>
      </c>
      <c r="E385" s="44" t="s">
        <v>1207</v>
      </c>
      <c r="F385" s="44" t="s">
        <v>1429</v>
      </c>
      <c r="G385" s="44" t="s">
        <v>1430</v>
      </c>
      <c r="I385" s="45">
        <v>38057.957358333333</v>
      </c>
      <c r="K385" s="44" t="s">
        <v>3751</v>
      </c>
      <c r="M385" s="44" t="s">
        <v>889</v>
      </c>
      <c r="N385" s="46">
        <f>VLOOKUP(M385,'Spend Export'!$B:$E,4,FALSE)</f>
        <v>4679.33</v>
      </c>
      <c r="P385" s="44" t="s">
        <v>3752</v>
      </c>
      <c r="Q385" s="44" t="s">
        <v>1429</v>
      </c>
      <c r="R385" s="44" t="s">
        <v>20</v>
      </c>
      <c r="S385" s="44" t="s">
        <v>19</v>
      </c>
      <c r="T385" s="44" t="s">
        <v>1708</v>
      </c>
      <c r="U385" s="44" t="s">
        <v>1708</v>
      </c>
      <c r="V385" s="44" t="s">
        <v>3753</v>
      </c>
      <c r="W385" s="44" t="s">
        <v>3754</v>
      </c>
      <c r="X385" s="44" t="s">
        <v>1439</v>
      </c>
      <c r="Y385" s="44" t="s">
        <v>1429</v>
      </c>
      <c r="Z385" s="44" t="s">
        <v>1429</v>
      </c>
      <c r="AI385" s="44" t="s">
        <v>3755</v>
      </c>
      <c r="AK385" s="44" t="s">
        <v>889</v>
      </c>
    </row>
    <row r="386" spans="1:37">
      <c r="B386" s="44" t="s">
        <v>594</v>
      </c>
      <c r="C386" s="44" t="s">
        <v>594</v>
      </c>
      <c r="D386" s="44" t="s">
        <v>3756</v>
      </c>
      <c r="E386" s="44" t="s">
        <v>3757</v>
      </c>
      <c r="F386" s="44" t="s">
        <v>3758</v>
      </c>
      <c r="G386" s="44" t="s">
        <v>1430</v>
      </c>
      <c r="I386" s="45">
        <v>40758.648730590277</v>
      </c>
      <c r="J386" s="44" t="s">
        <v>3759</v>
      </c>
      <c r="K386" s="44" t="s">
        <v>3760</v>
      </c>
      <c r="M386" s="44" t="s">
        <v>595</v>
      </c>
      <c r="N386" s="46">
        <f>VLOOKUP(M386,'Spend Export'!$B:$E,4,FALSE)</f>
        <v>4577</v>
      </c>
      <c r="O386" s="44" t="s">
        <v>1429</v>
      </c>
      <c r="P386" s="44" t="s">
        <v>3761</v>
      </c>
      <c r="Q386" s="44" t="s">
        <v>1429</v>
      </c>
      <c r="R386" s="44" t="s">
        <v>20</v>
      </c>
      <c r="S386" s="44" t="s">
        <v>19</v>
      </c>
      <c r="T386" s="44" t="s">
        <v>1556</v>
      </c>
      <c r="U386" s="44" t="s">
        <v>1556</v>
      </c>
      <c r="V386" s="44" t="s">
        <v>3762</v>
      </c>
      <c r="W386" s="44" t="s">
        <v>3763</v>
      </c>
      <c r="X386" s="44" t="s">
        <v>1439</v>
      </c>
      <c r="Y386" s="44" t="s">
        <v>1386</v>
      </c>
      <c r="Z386" s="44" t="s">
        <v>1429</v>
      </c>
      <c r="AI386" s="44" t="s">
        <v>3764</v>
      </c>
      <c r="AK386" s="44" t="s">
        <v>595</v>
      </c>
    </row>
    <row r="387" spans="1:37">
      <c r="B387" s="44" t="s">
        <v>900</v>
      </c>
      <c r="C387" s="44" t="s">
        <v>900</v>
      </c>
      <c r="D387" s="44" t="s">
        <v>1428</v>
      </c>
      <c r="E387" s="44" t="s">
        <v>1207</v>
      </c>
      <c r="F387" s="44" t="s">
        <v>1429</v>
      </c>
      <c r="G387" s="44" t="s">
        <v>1430</v>
      </c>
      <c r="I387" s="45">
        <v>45246.662665659722</v>
      </c>
      <c r="J387" s="44" t="s">
        <v>2749</v>
      </c>
      <c r="K387" s="44" t="s">
        <v>3765</v>
      </c>
      <c r="M387" s="44" t="s">
        <v>901</v>
      </c>
      <c r="N387" s="46">
        <f>VLOOKUP(M387,'Spend Export'!$B:$E,4,FALSE)</f>
        <v>4497</v>
      </c>
      <c r="O387" s="44" t="s">
        <v>1429</v>
      </c>
      <c r="P387" s="44" t="s">
        <v>3766</v>
      </c>
      <c r="Q387" s="44" t="s">
        <v>1429</v>
      </c>
      <c r="R387" s="44" t="s">
        <v>20</v>
      </c>
      <c r="S387" s="44" t="s">
        <v>19</v>
      </c>
      <c r="T387" s="44" t="s">
        <v>1556</v>
      </c>
      <c r="U387" s="44" t="s">
        <v>1556</v>
      </c>
      <c r="V387" s="44" t="s">
        <v>3767</v>
      </c>
      <c r="W387" s="44" t="s">
        <v>3768</v>
      </c>
      <c r="X387" s="44" t="s">
        <v>1584</v>
      </c>
      <c r="Y387" s="44" t="s">
        <v>1429</v>
      </c>
      <c r="Z387" s="44" t="s">
        <v>1429</v>
      </c>
      <c r="AE387" s="44" t="s">
        <v>3769</v>
      </c>
      <c r="AI387" s="44" t="s">
        <v>3770</v>
      </c>
      <c r="AK387" s="44" t="s">
        <v>901</v>
      </c>
    </row>
    <row r="388" spans="1:37">
      <c r="A388" s="44" t="s">
        <v>1738</v>
      </c>
      <c r="B388" s="44" t="s">
        <v>14</v>
      </c>
      <c r="C388" s="44" t="s">
        <v>14</v>
      </c>
      <c r="D388" s="44" t="s">
        <v>1428</v>
      </c>
      <c r="E388" s="44" t="s">
        <v>1207</v>
      </c>
      <c r="F388" s="44" t="s">
        <v>1747</v>
      </c>
      <c r="G388" s="44" t="s">
        <v>1430</v>
      </c>
      <c r="H388" s="44" t="s">
        <v>1431</v>
      </c>
      <c r="I388" s="45">
        <v>43930.530634143521</v>
      </c>
      <c r="J388" s="44" t="s">
        <v>3771</v>
      </c>
      <c r="K388" s="44" t="s">
        <v>1742</v>
      </c>
      <c r="M388" s="44" t="s">
        <v>437</v>
      </c>
      <c r="N388" s="46">
        <f>VLOOKUP(M388,'Spend Export'!$B:$E,4,FALSE)</f>
        <v>4074.02</v>
      </c>
      <c r="P388" s="44" t="s">
        <v>1743</v>
      </c>
      <c r="Q388" s="44" t="s">
        <v>1429</v>
      </c>
      <c r="R388" s="44" t="s">
        <v>20</v>
      </c>
      <c r="S388" s="44" t="s">
        <v>19</v>
      </c>
      <c r="T388" s="44" t="s">
        <v>1744</v>
      </c>
      <c r="U388" s="44" t="s">
        <v>1745</v>
      </c>
      <c r="V388" s="44" t="s">
        <v>3772</v>
      </c>
      <c r="W388" s="44" t="s">
        <v>3773</v>
      </c>
      <c r="X388" s="44" t="s">
        <v>1450</v>
      </c>
      <c r="Y388" s="44" t="s">
        <v>1386</v>
      </c>
      <c r="Z388" s="44" t="s">
        <v>1386</v>
      </c>
      <c r="AG388" s="44" t="s">
        <v>3774</v>
      </c>
      <c r="AH388" s="44" t="s">
        <v>1488</v>
      </c>
      <c r="AK388" s="44" t="s">
        <v>437</v>
      </c>
    </row>
    <row r="389" spans="1:37">
      <c r="B389" s="44" t="s">
        <v>798</v>
      </c>
      <c r="C389" s="44" t="s">
        <v>798</v>
      </c>
      <c r="D389" s="44" t="s">
        <v>1428</v>
      </c>
      <c r="E389" s="44" t="s">
        <v>1207</v>
      </c>
      <c r="F389" s="44" t="s">
        <v>3775</v>
      </c>
      <c r="G389" s="44" t="s">
        <v>1430</v>
      </c>
      <c r="I389" s="45">
        <v>37918.625432372683</v>
      </c>
      <c r="K389" s="44" t="s">
        <v>3776</v>
      </c>
      <c r="M389" s="44" t="s">
        <v>799</v>
      </c>
      <c r="N389" s="46">
        <f>VLOOKUP(M389,'Spend Export'!$B:$E,4,FALSE)</f>
        <v>4050</v>
      </c>
      <c r="P389" s="44" t="s">
        <v>3777</v>
      </c>
      <c r="Q389" s="44" t="s">
        <v>1429</v>
      </c>
      <c r="R389" s="44" t="s">
        <v>20</v>
      </c>
      <c r="S389" s="44" t="s">
        <v>19</v>
      </c>
      <c r="T389" s="44" t="s">
        <v>1502</v>
      </c>
      <c r="U389" s="44" t="s">
        <v>1502</v>
      </c>
      <c r="V389" s="44" t="s">
        <v>3778</v>
      </c>
      <c r="W389" s="44" t="s">
        <v>3779</v>
      </c>
      <c r="X389" s="44" t="s">
        <v>1450</v>
      </c>
      <c r="Y389" s="44" t="s">
        <v>1429</v>
      </c>
      <c r="Z389" s="44" t="s">
        <v>1429</v>
      </c>
      <c r="AK389" s="44" t="s">
        <v>799</v>
      </c>
    </row>
    <row r="390" spans="1:37">
      <c r="B390" s="44" t="s">
        <v>926</v>
      </c>
      <c r="C390" s="44" t="s">
        <v>926</v>
      </c>
      <c r="D390" s="44" t="s">
        <v>1924</v>
      </c>
      <c r="E390" s="44" t="s">
        <v>1925</v>
      </c>
      <c r="F390" s="44" t="s">
        <v>1429</v>
      </c>
      <c r="G390" s="44" t="s">
        <v>1430</v>
      </c>
      <c r="I390" s="45">
        <v>44658.600749618054</v>
      </c>
      <c r="J390" s="44" t="s">
        <v>3780</v>
      </c>
      <c r="K390" s="44" t="s">
        <v>3781</v>
      </c>
      <c r="M390" s="44" t="s">
        <v>927</v>
      </c>
      <c r="N390" s="46">
        <f>VLOOKUP(M390,'Spend Export'!$B:$E,4,FALSE)</f>
        <v>4000</v>
      </c>
      <c r="O390" s="44" t="s">
        <v>1429</v>
      </c>
      <c r="P390" s="44" t="s">
        <v>3782</v>
      </c>
      <c r="Q390" s="44" t="s">
        <v>1429</v>
      </c>
      <c r="R390" s="44" t="s">
        <v>20</v>
      </c>
      <c r="S390" s="44" t="s">
        <v>19</v>
      </c>
      <c r="T390" s="44" t="s">
        <v>2585</v>
      </c>
      <c r="U390" s="44" t="s">
        <v>1484</v>
      </c>
      <c r="V390" s="44" t="s">
        <v>3783</v>
      </c>
      <c r="W390" s="44" t="s">
        <v>3784</v>
      </c>
      <c r="X390" s="44" t="s">
        <v>1461</v>
      </c>
      <c r="Y390" s="44" t="s">
        <v>1386</v>
      </c>
      <c r="Z390" s="44" t="s">
        <v>1429</v>
      </c>
      <c r="AI390" s="44" t="s">
        <v>3785</v>
      </c>
      <c r="AK390" s="44" t="s">
        <v>927</v>
      </c>
    </row>
    <row r="391" spans="1:37">
      <c r="B391" s="44" t="s">
        <v>94</v>
      </c>
      <c r="C391" s="44" t="s">
        <v>94</v>
      </c>
      <c r="D391" s="44" t="s">
        <v>1428</v>
      </c>
      <c r="E391" s="44" t="s">
        <v>1207</v>
      </c>
      <c r="F391" s="44" t="s">
        <v>3786</v>
      </c>
      <c r="G391" s="44" t="s">
        <v>1430</v>
      </c>
      <c r="I391" s="45">
        <v>37918.76084440972</v>
      </c>
      <c r="K391" s="44" t="s">
        <v>3787</v>
      </c>
      <c r="M391" s="44" t="s">
        <v>503</v>
      </c>
      <c r="N391" s="46">
        <f>VLOOKUP(M391,'Spend Export'!$B:$E,4,FALSE)</f>
        <v>3927.3300000000004</v>
      </c>
      <c r="O391" s="44" t="s">
        <v>1429</v>
      </c>
      <c r="P391" s="44" t="s">
        <v>3788</v>
      </c>
      <c r="Q391" s="44" t="s">
        <v>1429</v>
      </c>
      <c r="R391" s="44" t="s">
        <v>19</v>
      </c>
      <c r="S391" s="44" t="s">
        <v>19</v>
      </c>
      <c r="T391" s="44" t="s">
        <v>3789</v>
      </c>
      <c r="U391" s="44" t="s">
        <v>1502</v>
      </c>
      <c r="V391" s="44" t="s">
        <v>3790</v>
      </c>
      <c r="W391" s="44" t="s">
        <v>3791</v>
      </c>
      <c r="X391" s="44" t="s">
        <v>1439</v>
      </c>
      <c r="Y391" s="44" t="s">
        <v>1386</v>
      </c>
      <c r="Z391" s="44" t="s">
        <v>1386</v>
      </c>
      <c r="AI391" s="44" t="s">
        <v>3792</v>
      </c>
      <c r="AK391" s="44" t="s">
        <v>503</v>
      </c>
    </row>
    <row r="392" spans="1:37">
      <c r="B392" s="44" t="s">
        <v>390</v>
      </c>
      <c r="C392" s="44" t="s">
        <v>390</v>
      </c>
      <c r="D392" s="44" t="s">
        <v>1764</v>
      </c>
      <c r="E392" s="44" t="s">
        <v>1617</v>
      </c>
      <c r="F392" s="44" t="s">
        <v>1429</v>
      </c>
      <c r="G392" s="44" t="s">
        <v>1430</v>
      </c>
      <c r="I392" s="45">
        <v>44246.514506678242</v>
      </c>
      <c r="J392" s="44" t="s">
        <v>2057</v>
      </c>
      <c r="K392" s="44" t="s">
        <v>3793</v>
      </c>
      <c r="M392" s="44" t="s">
        <v>391</v>
      </c>
      <c r="N392" s="46">
        <f>VLOOKUP(M392,'Spend Export'!$B:$E,4,FALSE)</f>
        <v>3922.2900000000004</v>
      </c>
      <c r="P392" s="44" t="s">
        <v>3794</v>
      </c>
      <c r="Q392" s="44" t="s">
        <v>1429</v>
      </c>
      <c r="R392" s="44" t="s">
        <v>20</v>
      </c>
      <c r="S392" s="44" t="s">
        <v>19</v>
      </c>
      <c r="T392" s="44" t="s">
        <v>1484</v>
      </c>
      <c r="U392" s="44" t="s">
        <v>1484</v>
      </c>
      <c r="V392" s="44" t="s">
        <v>3795</v>
      </c>
      <c r="W392" s="44" t="s">
        <v>3796</v>
      </c>
      <c r="X392" s="44" t="s">
        <v>1450</v>
      </c>
      <c r="Y392" s="44" t="s">
        <v>1429</v>
      </c>
      <c r="Z392" s="44" t="s">
        <v>1429</v>
      </c>
      <c r="AG392" s="44" t="s">
        <v>3797</v>
      </c>
      <c r="AI392" s="44" t="s">
        <v>3798</v>
      </c>
      <c r="AK392" s="44" t="s">
        <v>391</v>
      </c>
    </row>
    <row r="393" spans="1:37">
      <c r="B393" s="44" t="s">
        <v>886</v>
      </c>
      <c r="C393" s="44" t="s">
        <v>886</v>
      </c>
      <c r="D393" s="44" t="s">
        <v>1466</v>
      </c>
      <c r="E393" s="44" t="s">
        <v>1207</v>
      </c>
      <c r="F393" s="44" t="s">
        <v>1429</v>
      </c>
      <c r="G393" s="44" t="s">
        <v>1430</v>
      </c>
      <c r="I393" s="45">
        <v>43172.354330092596</v>
      </c>
      <c r="J393" s="44" t="s">
        <v>3799</v>
      </c>
      <c r="K393" s="44" t="s">
        <v>3800</v>
      </c>
      <c r="M393" s="44" t="s">
        <v>887</v>
      </c>
      <c r="N393" s="46">
        <f>VLOOKUP(M393,'Spend Export'!$B:$E,4,FALSE)</f>
        <v>3891.63</v>
      </c>
      <c r="O393" s="44" t="s">
        <v>1429</v>
      </c>
      <c r="P393" s="44" t="s">
        <v>3801</v>
      </c>
      <c r="Q393" s="44" t="s">
        <v>1429</v>
      </c>
      <c r="R393" s="44" t="s">
        <v>20</v>
      </c>
      <c r="S393" s="44" t="s">
        <v>19</v>
      </c>
      <c r="T393" s="44" t="s">
        <v>1502</v>
      </c>
      <c r="U393" s="44" t="s">
        <v>1502</v>
      </c>
      <c r="V393" s="44" t="s">
        <v>3802</v>
      </c>
      <c r="W393" s="44" t="s">
        <v>3803</v>
      </c>
      <c r="X393" s="44" t="s">
        <v>1439</v>
      </c>
      <c r="Y393" s="44" t="s">
        <v>1386</v>
      </c>
      <c r="Z393" s="44" t="s">
        <v>1386</v>
      </c>
      <c r="AG393" s="44" t="s">
        <v>3799</v>
      </c>
      <c r="AI393" s="44" t="s">
        <v>3804</v>
      </c>
      <c r="AK393" s="44" t="s">
        <v>887</v>
      </c>
    </row>
    <row r="394" spans="1:37">
      <c r="B394" s="44" t="s">
        <v>832</v>
      </c>
      <c r="C394" s="44" t="s">
        <v>832</v>
      </c>
      <c r="D394" s="44" t="s">
        <v>1428</v>
      </c>
      <c r="E394" s="44" t="s">
        <v>1207</v>
      </c>
      <c r="F394" s="44" t="s">
        <v>1429</v>
      </c>
      <c r="G394" s="44" t="s">
        <v>1430</v>
      </c>
      <c r="I394" s="45">
        <v>44459.44275790509</v>
      </c>
      <c r="J394" s="44" t="s">
        <v>2472</v>
      </c>
      <c r="K394" s="44" t="s">
        <v>3805</v>
      </c>
      <c r="M394" s="44" t="s">
        <v>833</v>
      </c>
      <c r="N394" s="46">
        <f>VLOOKUP(M394,'Spend Export'!$B:$E,4,FALSE)</f>
        <v>3887</v>
      </c>
      <c r="O394" s="44" t="s">
        <v>1429</v>
      </c>
      <c r="P394" s="44" t="s">
        <v>3806</v>
      </c>
      <c r="Q394" s="44" t="s">
        <v>1429</v>
      </c>
      <c r="R394" s="44" t="s">
        <v>19</v>
      </c>
      <c r="S394" s="44" t="s">
        <v>19</v>
      </c>
      <c r="T394" s="44" t="s">
        <v>1708</v>
      </c>
      <c r="U394" s="44" t="s">
        <v>1708</v>
      </c>
      <c r="V394" s="44" t="s">
        <v>3807</v>
      </c>
      <c r="W394" s="44" t="s">
        <v>3808</v>
      </c>
      <c r="X394" s="44" t="s">
        <v>1450</v>
      </c>
      <c r="Y394" s="44" t="s">
        <v>1386</v>
      </c>
      <c r="Z394" s="44" t="s">
        <v>1386</v>
      </c>
      <c r="AH394" s="44" t="s">
        <v>3809</v>
      </c>
      <c r="AI394" s="44" t="s">
        <v>3810</v>
      </c>
      <c r="AK394" s="44" t="s">
        <v>833</v>
      </c>
    </row>
    <row r="395" spans="1:37">
      <c r="B395" s="44" t="s">
        <v>524</v>
      </c>
      <c r="C395" s="44" t="s">
        <v>524</v>
      </c>
      <c r="D395" s="44" t="s">
        <v>1428</v>
      </c>
      <c r="E395" s="44" t="s">
        <v>1207</v>
      </c>
      <c r="F395" s="44" t="s">
        <v>1429</v>
      </c>
      <c r="G395" s="44" t="s">
        <v>1430</v>
      </c>
      <c r="I395" s="45">
        <v>43581.363781400461</v>
      </c>
      <c r="J395" s="44" t="s">
        <v>1756</v>
      </c>
      <c r="K395" s="44" t="s">
        <v>3811</v>
      </c>
      <c r="M395" s="44" t="s">
        <v>525</v>
      </c>
      <c r="N395" s="46" t="e">
        <f>VLOOKUP(M395,'Spend Export'!$B:$E,4,FALSE)</f>
        <v>#N/A</v>
      </c>
      <c r="P395" s="44" t="s">
        <v>3812</v>
      </c>
      <c r="Q395" s="44" t="s">
        <v>1429</v>
      </c>
      <c r="R395" s="44" t="s">
        <v>20</v>
      </c>
      <c r="S395" s="44" t="s">
        <v>19</v>
      </c>
      <c r="T395" s="44" t="s">
        <v>1458</v>
      </c>
      <c r="U395" s="44" t="s">
        <v>1458</v>
      </c>
      <c r="V395" s="44" t="s">
        <v>3813</v>
      </c>
      <c r="W395" s="44" t="s">
        <v>3814</v>
      </c>
      <c r="X395" s="44" t="s">
        <v>1450</v>
      </c>
      <c r="Y395" s="44" t="s">
        <v>1429</v>
      </c>
      <c r="Z395" s="44" t="s">
        <v>1386</v>
      </c>
      <c r="AI395" s="44" t="s">
        <v>3815</v>
      </c>
      <c r="AK395" s="44" t="s">
        <v>525</v>
      </c>
    </row>
    <row r="396" spans="1:37">
      <c r="B396" s="44" t="s">
        <v>1116</v>
      </c>
      <c r="C396" s="44" t="s">
        <v>1116</v>
      </c>
      <c r="D396" s="44" t="s">
        <v>3816</v>
      </c>
      <c r="E396" s="44" t="s">
        <v>1499</v>
      </c>
      <c r="F396" s="44" t="s">
        <v>1429</v>
      </c>
      <c r="G396" s="44" t="s">
        <v>1430</v>
      </c>
      <c r="I396" s="45">
        <v>40417.52764699074</v>
      </c>
      <c r="K396" s="44" t="s">
        <v>3817</v>
      </c>
      <c r="M396" s="44" t="s">
        <v>1117</v>
      </c>
      <c r="N396" s="46">
        <f>VLOOKUP(M396,'Spend Export'!$B:$E,4,FALSE)</f>
        <v>3741</v>
      </c>
      <c r="P396" s="44" t="s">
        <v>3818</v>
      </c>
      <c r="Q396" s="44" t="s">
        <v>1429</v>
      </c>
      <c r="R396" s="44" t="s">
        <v>19</v>
      </c>
      <c r="S396" s="44" t="s">
        <v>19</v>
      </c>
      <c r="T396" s="44" t="s">
        <v>1502</v>
      </c>
      <c r="U396" s="44" t="s">
        <v>1502</v>
      </c>
      <c r="V396" s="44" t="s">
        <v>3819</v>
      </c>
      <c r="W396" s="44" t="s">
        <v>3820</v>
      </c>
      <c r="X396" s="44" t="s">
        <v>1439</v>
      </c>
      <c r="Y396" s="44" t="s">
        <v>1386</v>
      </c>
      <c r="Z396" s="44" t="s">
        <v>1429</v>
      </c>
      <c r="AG396" s="44" t="s">
        <v>1487</v>
      </c>
      <c r="AK396" s="44" t="s">
        <v>1117</v>
      </c>
    </row>
    <row r="397" spans="1:37">
      <c r="B397" s="44" t="s">
        <v>830</v>
      </c>
      <c r="C397" s="44" t="s">
        <v>830</v>
      </c>
      <c r="D397" s="44" t="s">
        <v>2457</v>
      </c>
      <c r="E397" s="44" t="s">
        <v>2005</v>
      </c>
      <c r="F397" s="44" t="s">
        <v>1429</v>
      </c>
      <c r="G397" s="44" t="s">
        <v>1430</v>
      </c>
      <c r="I397" s="45">
        <v>44970.644781331015</v>
      </c>
      <c r="J397" s="44" t="s">
        <v>3821</v>
      </c>
      <c r="K397" s="44" t="s">
        <v>3822</v>
      </c>
      <c r="M397" s="44" t="s">
        <v>831</v>
      </c>
      <c r="N397" s="46">
        <f>VLOOKUP(M397,'Spend Export'!$B:$E,4,FALSE)</f>
        <v>3700</v>
      </c>
      <c r="O397" s="44" t="s">
        <v>1429</v>
      </c>
      <c r="P397" s="44" t="s">
        <v>3823</v>
      </c>
      <c r="Q397" s="44" t="s">
        <v>1429</v>
      </c>
      <c r="R397" s="44" t="s">
        <v>20</v>
      </c>
      <c r="S397" s="44" t="s">
        <v>19</v>
      </c>
      <c r="T397" s="44" t="s">
        <v>1556</v>
      </c>
      <c r="U397" s="44" t="s">
        <v>1556</v>
      </c>
      <c r="V397" s="44" t="s">
        <v>3824</v>
      </c>
      <c r="W397" s="44" t="s">
        <v>3825</v>
      </c>
      <c r="X397" s="44" t="s">
        <v>1450</v>
      </c>
      <c r="Y397" s="44" t="s">
        <v>1429</v>
      </c>
      <c r="Z397" s="44" t="s">
        <v>1429</v>
      </c>
      <c r="AI397" s="44" t="s">
        <v>3826</v>
      </c>
      <c r="AK397" s="44" t="s">
        <v>831</v>
      </c>
    </row>
    <row r="398" spans="1:37">
      <c r="B398" s="44" t="s">
        <v>1046</v>
      </c>
      <c r="C398" s="44" t="s">
        <v>1046</v>
      </c>
      <c r="D398" s="44" t="s">
        <v>1428</v>
      </c>
      <c r="E398" s="44" t="s">
        <v>1207</v>
      </c>
      <c r="G398" s="44" t="s">
        <v>1430</v>
      </c>
      <c r="I398" s="45">
        <v>44827.456012002316</v>
      </c>
      <c r="J398" s="44" t="s">
        <v>1756</v>
      </c>
      <c r="K398" s="44" t="s">
        <v>3827</v>
      </c>
      <c r="M398" s="44" t="s">
        <v>1047</v>
      </c>
      <c r="N398" s="46">
        <f>VLOOKUP(M398,'Spend Export'!$B:$E,4,FALSE)</f>
        <v>3693.28</v>
      </c>
      <c r="P398" s="44" t="s">
        <v>3828</v>
      </c>
      <c r="Q398" s="44" t="s">
        <v>1429</v>
      </c>
      <c r="R398" s="44" t="s">
        <v>20</v>
      </c>
      <c r="S398" s="44" t="s">
        <v>20</v>
      </c>
      <c r="T398" s="44" t="s">
        <v>1484</v>
      </c>
      <c r="U398" s="44" t="s">
        <v>1484</v>
      </c>
      <c r="X398" s="44" t="s">
        <v>1450</v>
      </c>
      <c r="Y398" s="44" t="s">
        <v>1429</v>
      </c>
      <c r="Z398" s="44" t="s">
        <v>1429</v>
      </c>
      <c r="AI398" s="44" t="s">
        <v>3829</v>
      </c>
      <c r="AK398" s="44" t="s">
        <v>1047</v>
      </c>
    </row>
    <row r="399" spans="1:37">
      <c r="B399" s="44" t="s">
        <v>586</v>
      </c>
      <c r="C399" s="44" t="s">
        <v>586</v>
      </c>
      <c r="D399" s="44" t="s">
        <v>3830</v>
      </c>
      <c r="E399" s="44" t="s">
        <v>1652</v>
      </c>
      <c r="F399" s="44" t="s">
        <v>3831</v>
      </c>
      <c r="G399" s="44" t="s">
        <v>1430</v>
      </c>
      <c r="I399" s="45">
        <v>38309.629223414355</v>
      </c>
      <c r="K399" s="44" t="s">
        <v>3832</v>
      </c>
      <c r="M399" s="44" t="s">
        <v>587</v>
      </c>
      <c r="N399" s="46">
        <f>VLOOKUP(M399,'Spend Export'!$B:$E,4,FALSE)</f>
        <v>3682.54</v>
      </c>
      <c r="P399" s="44" t="s">
        <v>3833</v>
      </c>
      <c r="Q399" s="44" t="s">
        <v>1429</v>
      </c>
      <c r="R399" s="44" t="s">
        <v>19</v>
      </c>
      <c r="S399" s="44" t="s">
        <v>19</v>
      </c>
      <c r="T399" s="44" t="s">
        <v>3834</v>
      </c>
      <c r="U399" s="44" t="s">
        <v>1964</v>
      </c>
      <c r="V399" s="44" t="s">
        <v>3835</v>
      </c>
      <c r="W399" s="44" t="s">
        <v>3836</v>
      </c>
      <c r="X399" s="44" t="s">
        <v>1439</v>
      </c>
      <c r="Y399" s="44" t="s">
        <v>1429</v>
      </c>
      <c r="Z399" s="44" t="s">
        <v>1386</v>
      </c>
      <c r="AA399" s="44" t="s">
        <v>3075</v>
      </c>
      <c r="AG399" s="44" t="s">
        <v>3837</v>
      </c>
      <c r="AH399" s="44" t="s">
        <v>1488</v>
      </c>
      <c r="AK399" s="44" t="s">
        <v>587</v>
      </c>
    </row>
    <row r="400" spans="1:37">
      <c r="B400" s="44" t="s">
        <v>698</v>
      </c>
      <c r="C400" s="44" t="s">
        <v>698</v>
      </c>
      <c r="D400" s="44" t="s">
        <v>3838</v>
      </c>
      <c r="E400" s="44" t="s">
        <v>1476</v>
      </c>
      <c r="G400" s="44" t="s">
        <v>1430</v>
      </c>
      <c r="I400" s="45">
        <v>44837.564994131943</v>
      </c>
      <c r="J400" s="44" t="s">
        <v>3123</v>
      </c>
      <c r="K400" s="44" t="s">
        <v>3839</v>
      </c>
      <c r="M400" s="44" t="s">
        <v>699</v>
      </c>
      <c r="N400" s="46">
        <f>VLOOKUP(M400,'Spend Export'!$B:$E,4,FALSE)</f>
        <v>3652.54</v>
      </c>
      <c r="Q400" s="44" t="s">
        <v>1429</v>
      </c>
      <c r="R400" s="44" t="s">
        <v>20</v>
      </c>
      <c r="S400" s="44" t="s">
        <v>20</v>
      </c>
      <c r="T400" s="44" t="s">
        <v>1708</v>
      </c>
      <c r="U400" s="44" t="s">
        <v>1708</v>
      </c>
      <c r="X400" s="44" t="s">
        <v>1450</v>
      </c>
      <c r="Y400" s="44" t="s">
        <v>1429</v>
      </c>
      <c r="Z400" s="44" t="s">
        <v>1429</v>
      </c>
      <c r="AI400" s="44" t="s">
        <v>3125</v>
      </c>
      <c r="AK400" s="44" t="s">
        <v>699</v>
      </c>
    </row>
    <row r="401" spans="1:37">
      <c r="A401" s="44" t="s">
        <v>3840</v>
      </c>
      <c r="B401" s="44" t="s">
        <v>1048</v>
      </c>
      <c r="C401" s="44" t="s">
        <v>1048</v>
      </c>
      <c r="D401" s="44" t="s">
        <v>1428</v>
      </c>
      <c r="E401" s="44" t="s">
        <v>1207</v>
      </c>
      <c r="F401" s="44" t="s">
        <v>1429</v>
      </c>
      <c r="G401" s="44" t="s">
        <v>1430</v>
      </c>
      <c r="H401" s="44" t="s">
        <v>1431</v>
      </c>
      <c r="I401" s="45">
        <v>44664.348348842592</v>
      </c>
      <c r="J401" s="44" t="s">
        <v>1756</v>
      </c>
      <c r="K401" s="44" t="s">
        <v>3841</v>
      </c>
      <c r="M401" s="44" t="s">
        <v>1049</v>
      </c>
      <c r="N401" s="46" t="e">
        <f>VLOOKUP(M401,'Spend Export'!$B:$E,4,FALSE)</f>
        <v>#N/A</v>
      </c>
      <c r="O401" s="44" t="s">
        <v>1429</v>
      </c>
      <c r="P401" s="44" t="s">
        <v>3842</v>
      </c>
      <c r="Q401" s="44" t="s">
        <v>1429</v>
      </c>
      <c r="R401" s="44" t="s">
        <v>20</v>
      </c>
      <c r="S401" s="44" t="s">
        <v>19</v>
      </c>
      <c r="T401" s="44" t="s">
        <v>1458</v>
      </c>
      <c r="U401" s="44" t="s">
        <v>1458</v>
      </c>
      <c r="X401" s="44" t="s">
        <v>1450</v>
      </c>
      <c r="Y401" s="44" t="s">
        <v>1429</v>
      </c>
      <c r="Z401" s="44" t="s">
        <v>1429</v>
      </c>
      <c r="AA401" s="44" t="s">
        <v>1761</v>
      </c>
      <c r="AI401" s="44" t="s">
        <v>3363</v>
      </c>
      <c r="AK401" s="44" t="s">
        <v>1049</v>
      </c>
    </row>
    <row r="402" spans="1:37">
      <c r="B402" s="44" t="s">
        <v>1088</v>
      </c>
      <c r="C402" s="44" t="s">
        <v>1088</v>
      </c>
      <c r="D402" s="44" t="s">
        <v>1428</v>
      </c>
      <c r="E402" s="44" t="s">
        <v>1207</v>
      </c>
      <c r="F402" s="44" t="s">
        <v>1429</v>
      </c>
      <c r="G402" s="44" t="s">
        <v>1430</v>
      </c>
      <c r="I402" s="45">
        <v>44251.4990378125</v>
      </c>
      <c r="J402" s="44" t="s">
        <v>1863</v>
      </c>
      <c r="K402" s="44" t="s">
        <v>3843</v>
      </c>
      <c r="M402" s="44" t="s">
        <v>1089</v>
      </c>
      <c r="N402" s="46">
        <f>VLOOKUP(M402,'Spend Export'!$B:$E,4,FALSE)</f>
        <v>3500</v>
      </c>
      <c r="P402" s="44" t="s">
        <v>3844</v>
      </c>
      <c r="Q402" s="44" t="s">
        <v>1429</v>
      </c>
      <c r="R402" s="44" t="s">
        <v>20</v>
      </c>
      <c r="S402" s="44" t="s">
        <v>19</v>
      </c>
      <c r="T402" s="44" t="s">
        <v>1484</v>
      </c>
      <c r="U402" s="44" t="s">
        <v>1484</v>
      </c>
      <c r="V402" s="44" t="s">
        <v>3845</v>
      </c>
      <c r="W402" s="44" t="s">
        <v>3846</v>
      </c>
      <c r="X402" s="44" t="s">
        <v>1461</v>
      </c>
      <c r="Y402" s="44" t="s">
        <v>1386</v>
      </c>
      <c r="Z402" s="44" t="s">
        <v>1429</v>
      </c>
      <c r="AI402" s="44" t="s">
        <v>3847</v>
      </c>
      <c r="AK402" s="44" t="s">
        <v>1089</v>
      </c>
    </row>
    <row r="403" spans="1:37">
      <c r="B403" s="44" t="s">
        <v>3848</v>
      </c>
      <c r="C403" s="44" t="s">
        <v>3848</v>
      </c>
      <c r="D403" s="44" t="s">
        <v>1428</v>
      </c>
      <c r="E403" s="44" t="s">
        <v>1207</v>
      </c>
      <c r="F403" s="44" t="s">
        <v>1429</v>
      </c>
      <c r="G403" s="44" t="s">
        <v>1430</v>
      </c>
      <c r="I403" s="45">
        <v>40809.574977083335</v>
      </c>
      <c r="K403" s="44" t="s">
        <v>3849</v>
      </c>
      <c r="M403" s="44" t="s">
        <v>1171</v>
      </c>
      <c r="N403" s="46">
        <f>VLOOKUP(M403,'Spend Export'!$B:$E,4,FALSE)</f>
        <v>3400</v>
      </c>
      <c r="P403" s="44" t="s">
        <v>3850</v>
      </c>
      <c r="Q403" s="44" t="s">
        <v>1429</v>
      </c>
      <c r="R403" s="44" t="s">
        <v>20</v>
      </c>
      <c r="S403" s="44" t="s">
        <v>19</v>
      </c>
      <c r="T403" s="44" t="s">
        <v>1708</v>
      </c>
      <c r="U403" s="44" t="s">
        <v>1708</v>
      </c>
      <c r="X403" s="44" t="s">
        <v>1450</v>
      </c>
      <c r="Y403" s="44" t="s">
        <v>1429</v>
      </c>
      <c r="Z403" s="44" t="s">
        <v>1429</v>
      </c>
      <c r="AI403" s="44" t="s">
        <v>3851</v>
      </c>
      <c r="AK403" s="44" t="s">
        <v>1171</v>
      </c>
    </row>
    <row r="404" spans="1:37">
      <c r="B404" s="44" t="s">
        <v>1182</v>
      </c>
      <c r="C404" s="44" t="s">
        <v>1182</v>
      </c>
      <c r="D404" s="44" t="s">
        <v>2354</v>
      </c>
      <c r="E404" s="44" t="s">
        <v>1682</v>
      </c>
      <c r="F404" s="44" t="s">
        <v>1429</v>
      </c>
      <c r="G404" s="44" t="s">
        <v>1430</v>
      </c>
      <c r="I404" s="45">
        <v>44391.577004166669</v>
      </c>
      <c r="J404" s="44" t="s">
        <v>2166</v>
      </c>
      <c r="K404" s="44" t="s">
        <v>3852</v>
      </c>
      <c r="M404" s="44" t="s">
        <v>1183</v>
      </c>
      <c r="N404" s="46">
        <f>VLOOKUP(M404,'Spend Export'!$B:$E,4,FALSE)</f>
        <v>3350</v>
      </c>
      <c r="P404" s="44" t="s">
        <v>3853</v>
      </c>
      <c r="Q404" s="44" t="s">
        <v>1429</v>
      </c>
      <c r="R404" s="44" t="s">
        <v>20</v>
      </c>
      <c r="S404" s="44" t="s">
        <v>19</v>
      </c>
      <c r="T404" s="44" t="s">
        <v>1556</v>
      </c>
      <c r="U404" s="44" t="s">
        <v>1556</v>
      </c>
      <c r="V404" s="44" t="s">
        <v>3854</v>
      </c>
      <c r="W404" s="44" t="s">
        <v>3855</v>
      </c>
      <c r="X404" s="44" t="s">
        <v>1450</v>
      </c>
      <c r="Y404" s="44" t="s">
        <v>1429</v>
      </c>
      <c r="Z404" s="44" t="s">
        <v>1429</v>
      </c>
      <c r="AI404" s="44" t="s">
        <v>3856</v>
      </c>
      <c r="AK404" s="44" t="s">
        <v>1183</v>
      </c>
    </row>
    <row r="405" spans="1:37">
      <c r="B405" s="44" t="s">
        <v>857</v>
      </c>
      <c r="C405" s="44" t="s">
        <v>857</v>
      </c>
      <c r="D405" s="44" t="s">
        <v>3857</v>
      </c>
      <c r="E405" s="44" t="s">
        <v>1682</v>
      </c>
      <c r="F405" s="44" t="s">
        <v>1429</v>
      </c>
      <c r="G405" s="44" t="s">
        <v>1430</v>
      </c>
      <c r="I405" s="45">
        <v>44733.677637766203</v>
      </c>
      <c r="J405" s="44" t="s">
        <v>1981</v>
      </c>
      <c r="K405" s="44" t="s">
        <v>3858</v>
      </c>
      <c r="M405" s="44" t="s">
        <v>858</v>
      </c>
      <c r="N405" s="46">
        <f>VLOOKUP(M405,'Spend Export'!$B:$E,4,FALSE)</f>
        <v>3299</v>
      </c>
      <c r="O405" s="44" t="s">
        <v>1429</v>
      </c>
      <c r="P405" s="44" t="s">
        <v>3859</v>
      </c>
      <c r="Q405" s="44" t="s">
        <v>1429</v>
      </c>
      <c r="R405" s="44" t="s">
        <v>19</v>
      </c>
      <c r="S405" s="44" t="s">
        <v>19</v>
      </c>
      <c r="T405" s="44" t="s">
        <v>1708</v>
      </c>
      <c r="U405" s="44" t="s">
        <v>1708</v>
      </c>
      <c r="V405" s="44" t="s">
        <v>3860</v>
      </c>
      <c r="W405" s="44" t="s">
        <v>3861</v>
      </c>
      <c r="X405" s="44" t="s">
        <v>1450</v>
      </c>
      <c r="Y405" s="44" t="s">
        <v>1386</v>
      </c>
      <c r="Z405" s="44" t="s">
        <v>1386</v>
      </c>
      <c r="AI405" s="44" t="s">
        <v>3862</v>
      </c>
      <c r="AK405" s="44" t="s">
        <v>858</v>
      </c>
    </row>
    <row r="406" spans="1:37">
      <c r="B406" s="44" t="s">
        <v>578</v>
      </c>
      <c r="C406" s="44" t="s">
        <v>578</v>
      </c>
      <c r="D406" s="44" t="s">
        <v>1428</v>
      </c>
      <c r="E406" s="44" t="s">
        <v>1207</v>
      </c>
      <c r="F406" s="44" t="s">
        <v>1429</v>
      </c>
      <c r="G406" s="44" t="s">
        <v>1430</v>
      </c>
      <c r="I406" s="45">
        <v>43747.566412384258</v>
      </c>
      <c r="J406" s="44" t="s">
        <v>3863</v>
      </c>
      <c r="K406" s="44" t="s">
        <v>3864</v>
      </c>
      <c r="M406" s="44" t="s">
        <v>579</v>
      </c>
      <c r="N406" s="46">
        <f>VLOOKUP(M406,'Spend Export'!$B:$E,4,FALSE)</f>
        <v>3268</v>
      </c>
      <c r="O406" s="44" t="s">
        <v>1429</v>
      </c>
      <c r="P406" s="44" t="s">
        <v>3865</v>
      </c>
      <c r="Q406" s="44" t="s">
        <v>1429</v>
      </c>
      <c r="R406" s="44" t="s">
        <v>20</v>
      </c>
      <c r="S406" s="44" t="s">
        <v>19</v>
      </c>
      <c r="T406" s="44" t="s">
        <v>1484</v>
      </c>
      <c r="U406" s="44" t="s">
        <v>1484</v>
      </c>
      <c r="V406" s="44" t="s">
        <v>3866</v>
      </c>
      <c r="W406" s="44" t="s">
        <v>3867</v>
      </c>
      <c r="X406" s="44" t="s">
        <v>1450</v>
      </c>
      <c r="Y406" s="44" t="s">
        <v>1386</v>
      </c>
      <c r="Z406" s="44" t="s">
        <v>1429</v>
      </c>
      <c r="AI406" s="44" t="s">
        <v>3868</v>
      </c>
      <c r="AK406" s="44" t="s">
        <v>579</v>
      </c>
    </row>
    <row r="407" spans="1:37">
      <c r="B407" s="44" t="s">
        <v>904</v>
      </c>
      <c r="C407" s="44" t="s">
        <v>904</v>
      </c>
      <c r="D407" s="44" t="s">
        <v>1466</v>
      </c>
      <c r="E407" s="44" t="s">
        <v>1207</v>
      </c>
      <c r="F407" s="44" t="s">
        <v>1429</v>
      </c>
      <c r="G407" s="44" t="s">
        <v>1430</v>
      </c>
      <c r="I407" s="45">
        <v>44175.416803206019</v>
      </c>
      <c r="J407" s="44" t="s">
        <v>3869</v>
      </c>
      <c r="K407" s="44" t="s">
        <v>3870</v>
      </c>
      <c r="M407" s="44" t="s">
        <v>905</v>
      </c>
      <c r="N407" s="46" t="e">
        <f>VLOOKUP(M407,'Spend Export'!$B:$E,4,FALSE)</f>
        <v>#N/A</v>
      </c>
      <c r="P407" s="44" t="s">
        <v>3871</v>
      </c>
      <c r="Q407" s="44" t="s">
        <v>1429</v>
      </c>
      <c r="R407" s="44" t="s">
        <v>20</v>
      </c>
      <c r="S407" s="44" t="s">
        <v>19</v>
      </c>
      <c r="T407" s="44" t="s">
        <v>3872</v>
      </c>
      <c r="U407" s="44" t="s">
        <v>1458</v>
      </c>
      <c r="V407" s="44" t="s">
        <v>3873</v>
      </c>
      <c r="W407" s="44" t="s">
        <v>3874</v>
      </c>
      <c r="X407" s="44" t="s">
        <v>1439</v>
      </c>
      <c r="Y407" s="44" t="s">
        <v>1429</v>
      </c>
      <c r="Z407" s="44" t="s">
        <v>1429</v>
      </c>
      <c r="AG407" s="44" t="s">
        <v>3875</v>
      </c>
      <c r="AI407" s="44" t="s">
        <v>3876</v>
      </c>
      <c r="AK407" s="44" t="s">
        <v>905</v>
      </c>
    </row>
    <row r="408" spans="1:37">
      <c r="B408" s="44" t="s">
        <v>1178</v>
      </c>
      <c r="C408" s="44" t="s">
        <v>1178</v>
      </c>
      <c r="D408" s="44" t="s">
        <v>3877</v>
      </c>
      <c r="E408" s="44" t="s">
        <v>2400</v>
      </c>
      <c r="F408" s="44" t="s">
        <v>1429</v>
      </c>
      <c r="G408" s="44" t="s">
        <v>1430</v>
      </c>
      <c r="I408" s="45">
        <v>42081.373900775463</v>
      </c>
      <c r="J408" s="44" t="s">
        <v>3878</v>
      </c>
      <c r="K408" s="44" t="s">
        <v>3879</v>
      </c>
      <c r="M408" s="44" t="s">
        <v>1179</v>
      </c>
      <c r="N408" s="46">
        <f>VLOOKUP(M408,'Spend Export'!$B:$E,4,FALSE)</f>
        <v>3167.4</v>
      </c>
      <c r="O408" s="44" t="s">
        <v>1429</v>
      </c>
      <c r="P408" s="44" t="s">
        <v>3880</v>
      </c>
      <c r="Q408" s="44" t="s">
        <v>1429</v>
      </c>
      <c r="R408" s="44" t="s">
        <v>19</v>
      </c>
      <c r="S408" s="44" t="s">
        <v>19</v>
      </c>
      <c r="T408" s="44" t="s">
        <v>1964</v>
      </c>
      <c r="U408" s="44" t="s">
        <v>1964</v>
      </c>
      <c r="V408" s="44" t="s">
        <v>3881</v>
      </c>
      <c r="W408" s="44" t="s">
        <v>3882</v>
      </c>
      <c r="X408" s="44" t="s">
        <v>1450</v>
      </c>
      <c r="Y408" s="44" t="s">
        <v>1429</v>
      </c>
      <c r="Z408" s="44" t="s">
        <v>1386</v>
      </c>
      <c r="AI408" s="44" t="s">
        <v>3883</v>
      </c>
      <c r="AK408" s="44" t="s">
        <v>1179</v>
      </c>
    </row>
    <row r="409" spans="1:37">
      <c r="B409" s="44" t="s">
        <v>1044</v>
      </c>
      <c r="C409" s="44" t="s">
        <v>1044</v>
      </c>
      <c r="D409" s="44" t="s">
        <v>1562</v>
      </c>
      <c r="E409" s="44" t="s">
        <v>1207</v>
      </c>
      <c r="F409" s="44" t="s">
        <v>1429</v>
      </c>
      <c r="G409" s="44" t="s">
        <v>1430</v>
      </c>
      <c r="I409" s="45">
        <v>43598.696507372682</v>
      </c>
      <c r="J409" s="44" t="s">
        <v>3884</v>
      </c>
      <c r="K409" s="44" t="s">
        <v>3885</v>
      </c>
      <c r="M409" s="44" t="s">
        <v>1045</v>
      </c>
      <c r="N409" s="46">
        <f>VLOOKUP(M409,'Spend Export'!$B:$E,4,FALSE)</f>
        <v>3104.84</v>
      </c>
      <c r="O409" s="44" t="s">
        <v>1429</v>
      </c>
      <c r="P409" s="44" t="s">
        <v>3886</v>
      </c>
      <c r="Q409" s="44" t="s">
        <v>1429</v>
      </c>
      <c r="R409" s="44" t="s">
        <v>20</v>
      </c>
      <c r="S409" s="44" t="s">
        <v>19</v>
      </c>
      <c r="T409" s="44" t="s">
        <v>1484</v>
      </c>
      <c r="U409" s="44" t="s">
        <v>1484</v>
      </c>
      <c r="V409" s="44" t="s">
        <v>3887</v>
      </c>
      <c r="W409" s="44" t="s">
        <v>3888</v>
      </c>
      <c r="X409" s="44" t="s">
        <v>1461</v>
      </c>
      <c r="Y409" s="44" t="s">
        <v>1429</v>
      </c>
      <c r="Z409" s="44" t="s">
        <v>1429</v>
      </c>
      <c r="AG409" s="44" t="s">
        <v>3884</v>
      </c>
      <c r="AI409" s="44" t="s">
        <v>3889</v>
      </c>
      <c r="AK409" s="44" t="s">
        <v>1045</v>
      </c>
    </row>
    <row r="410" spans="1:37">
      <c r="B410" s="44" t="s">
        <v>758</v>
      </c>
      <c r="C410" s="44" t="s">
        <v>758</v>
      </c>
      <c r="D410" s="44" t="s">
        <v>1443</v>
      </c>
      <c r="E410" s="44" t="s">
        <v>1207</v>
      </c>
      <c r="F410" s="44" t="s">
        <v>1429</v>
      </c>
      <c r="G410" s="44" t="s">
        <v>1430</v>
      </c>
      <c r="I410" s="45">
        <v>43160.371627280096</v>
      </c>
      <c r="J410" s="44" t="s">
        <v>3890</v>
      </c>
      <c r="K410" s="44" t="s">
        <v>3891</v>
      </c>
      <c r="M410" s="44" t="s">
        <v>759</v>
      </c>
      <c r="N410" s="46">
        <f>VLOOKUP(M410,'Spend Export'!$B:$E,4,FALSE)</f>
        <v>3062.5</v>
      </c>
      <c r="O410" s="44" t="s">
        <v>1429</v>
      </c>
      <c r="P410" s="44" t="s">
        <v>3892</v>
      </c>
      <c r="Q410" s="44" t="s">
        <v>1429</v>
      </c>
      <c r="R410" s="44" t="s">
        <v>20</v>
      </c>
      <c r="S410" s="44" t="s">
        <v>19</v>
      </c>
      <c r="T410" s="44" t="s">
        <v>1556</v>
      </c>
      <c r="U410" s="44" t="s">
        <v>1556</v>
      </c>
      <c r="V410" s="44" t="s">
        <v>3893</v>
      </c>
      <c r="W410" s="44" t="s">
        <v>3894</v>
      </c>
      <c r="X410" s="44" t="s">
        <v>1461</v>
      </c>
      <c r="Y410" s="44" t="s">
        <v>1429</v>
      </c>
      <c r="Z410" s="44" t="s">
        <v>1429</v>
      </c>
      <c r="AI410" s="44" t="s">
        <v>3895</v>
      </c>
      <c r="AK410" s="44" t="s">
        <v>759</v>
      </c>
    </row>
    <row r="411" spans="1:37">
      <c r="B411" s="44" t="s">
        <v>590</v>
      </c>
      <c r="C411" s="44" t="s">
        <v>590</v>
      </c>
      <c r="D411" s="44" t="s">
        <v>1428</v>
      </c>
      <c r="E411" s="44" t="s">
        <v>1207</v>
      </c>
      <c r="F411" s="44" t="s">
        <v>3896</v>
      </c>
      <c r="G411" s="44" t="s">
        <v>1430</v>
      </c>
      <c r="I411" s="45">
        <v>43815.613614351852</v>
      </c>
      <c r="J411" s="44" t="s">
        <v>3897</v>
      </c>
      <c r="K411" s="44" t="s">
        <v>3898</v>
      </c>
      <c r="M411" s="44" t="s">
        <v>591</v>
      </c>
      <c r="N411" s="46">
        <f>VLOOKUP(M411,'Spend Export'!$B:$E,4,FALSE)</f>
        <v>3050</v>
      </c>
      <c r="P411" s="44" t="s">
        <v>3899</v>
      </c>
      <c r="Q411" s="44" t="s">
        <v>1429</v>
      </c>
      <c r="R411" s="44" t="s">
        <v>20</v>
      </c>
      <c r="S411" s="44" t="s">
        <v>19</v>
      </c>
      <c r="T411" s="44" t="s">
        <v>2585</v>
      </c>
      <c r="U411" s="44" t="s">
        <v>1502</v>
      </c>
      <c r="V411" s="44" t="s">
        <v>3900</v>
      </c>
      <c r="W411" s="44" t="s">
        <v>3896</v>
      </c>
      <c r="X411" s="44" t="s">
        <v>1584</v>
      </c>
      <c r="Y411" s="44" t="s">
        <v>1429</v>
      </c>
      <c r="Z411" s="44" t="s">
        <v>1429</v>
      </c>
      <c r="AG411" s="44" t="s">
        <v>3897</v>
      </c>
      <c r="AI411" s="44" t="s">
        <v>3901</v>
      </c>
      <c r="AK411" s="44" t="s">
        <v>591</v>
      </c>
    </row>
    <row r="412" spans="1:37">
      <c r="B412" s="44" t="s">
        <v>1160</v>
      </c>
      <c r="C412" s="44" t="s">
        <v>1160</v>
      </c>
      <c r="D412" s="44" t="s">
        <v>3902</v>
      </c>
      <c r="E412" s="44" t="s">
        <v>2005</v>
      </c>
      <c r="F412" s="44" t="s">
        <v>3903</v>
      </c>
      <c r="G412" s="44" t="s">
        <v>1430</v>
      </c>
      <c r="I412" s="45">
        <v>39037.550667824071</v>
      </c>
      <c r="J412" s="44" t="s">
        <v>3485</v>
      </c>
      <c r="K412" s="44" t="s">
        <v>3904</v>
      </c>
      <c r="M412" s="44" t="s">
        <v>1161</v>
      </c>
      <c r="N412" s="46">
        <f>VLOOKUP(M412,'Spend Export'!$B:$E,4,FALSE)</f>
        <v>3000</v>
      </c>
      <c r="O412" s="44" t="s">
        <v>1429</v>
      </c>
      <c r="P412" s="44" t="s">
        <v>3905</v>
      </c>
      <c r="Q412" s="44" t="s">
        <v>1429</v>
      </c>
      <c r="R412" s="44" t="s">
        <v>20</v>
      </c>
      <c r="S412" s="44" t="s">
        <v>19</v>
      </c>
      <c r="T412" s="44" t="s">
        <v>1502</v>
      </c>
      <c r="U412" s="44" t="s">
        <v>1502</v>
      </c>
      <c r="V412" s="44" t="s">
        <v>3906</v>
      </c>
      <c r="W412" s="44" t="s">
        <v>3907</v>
      </c>
      <c r="X412" s="44" t="s">
        <v>1439</v>
      </c>
      <c r="Y412" s="44" t="s">
        <v>1386</v>
      </c>
      <c r="Z412" s="44" t="s">
        <v>1429</v>
      </c>
      <c r="AG412" s="44" t="s">
        <v>3908</v>
      </c>
      <c r="AI412" s="44" t="s">
        <v>3909</v>
      </c>
      <c r="AK412" s="44" t="s">
        <v>1161</v>
      </c>
    </row>
    <row r="413" spans="1:37">
      <c r="B413" s="44" t="s">
        <v>1019</v>
      </c>
      <c r="C413" s="44" t="s">
        <v>1019</v>
      </c>
      <c r="D413" s="44" t="s">
        <v>3910</v>
      </c>
      <c r="E413" s="44" t="s">
        <v>1207</v>
      </c>
      <c r="F413" s="44" t="s">
        <v>1429</v>
      </c>
      <c r="G413" s="44" t="s">
        <v>1430</v>
      </c>
      <c r="I413" s="45">
        <v>43822.388019756945</v>
      </c>
      <c r="J413" s="44" t="s">
        <v>3911</v>
      </c>
      <c r="K413" s="44" t="s">
        <v>3912</v>
      </c>
      <c r="M413" s="44" t="s">
        <v>1020</v>
      </c>
      <c r="N413" s="46">
        <f>VLOOKUP(M413,'Spend Export'!$B:$E,4,FALSE)</f>
        <v>2967.48</v>
      </c>
      <c r="P413" s="44" t="s">
        <v>3913</v>
      </c>
      <c r="Q413" s="44" t="s">
        <v>1429</v>
      </c>
      <c r="R413" s="44" t="s">
        <v>20</v>
      </c>
      <c r="S413" s="44" t="s">
        <v>19</v>
      </c>
      <c r="T413" s="44" t="s">
        <v>1502</v>
      </c>
      <c r="U413" s="44" t="s">
        <v>1502</v>
      </c>
      <c r="V413" s="44" t="s">
        <v>3914</v>
      </c>
      <c r="W413" s="44" t="s">
        <v>3915</v>
      </c>
      <c r="X413" s="44" t="s">
        <v>1450</v>
      </c>
      <c r="Y413" s="44" t="s">
        <v>1429</v>
      </c>
      <c r="Z413" s="44" t="s">
        <v>1429</v>
      </c>
      <c r="AI413" s="44" t="s">
        <v>3916</v>
      </c>
      <c r="AK413" s="44" t="s">
        <v>1020</v>
      </c>
    </row>
    <row r="414" spans="1:37">
      <c r="B414" s="44" t="s">
        <v>948</v>
      </c>
      <c r="C414" s="44" t="s">
        <v>948</v>
      </c>
      <c r="D414" s="44" t="s">
        <v>3917</v>
      </c>
      <c r="E414" s="44" t="s">
        <v>1207</v>
      </c>
      <c r="F414" s="44" t="s">
        <v>1429</v>
      </c>
      <c r="G414" s="44" t="s">
        <v>1430</v>
      </c>
      <c r="I414" s="45">
        <v>44957.548516087962</v>
      </c>
      <c r="J414" s="44" t="s">
        <v>1981</v>
      </c>
      <c r="K414" s="44" t="s">
        <v>3918</v>
      </c>
      <c r="M414" s="44" t="s">
        <v>949</v>
      </c>
      <c r="N414" s="46">
        <f>VLOOKUP(M414,'Spend Export'!$B:$E,4,FALSE)</f>
        <v>2940</v>
      </c>
      <c r="O414" s="44" t="s">
        <v>1429</v>
      </c>
      <c r="P414" s="44" t="s">
        <v>3919</v>
      </c>
      <c r="Q414" s="44" t="s">
        <v>1429</v>
      </c>
      <c r="R414" s="44" t="s">
        <v>19</v>
      </c>
      <c r="S414" s="44" t="s">
        <v>19</v>
      </c>
      <c r="T414" s="44" t="s">
        <v>1708</v>
      </c>
      <c r="U414" s="44" t="s">
        <v>1708</v>
      </c>
      <c r="V414" s="44" t="s">
        <v>3920</v>
      </c>
      <c r="W414" s="44" t="s">
        <v>3921</v>
      </c>
      <c r="X414" s="44" t="s">
        <v>1450</v>
      </c>
      <c r="Y414" s="44" t="s">
        <v>1386</v>
      </c>
      <c r="Z414" s="44" t="s">
        <v>1386</v>
      </c>
      <c r="AI414" s="44" t="s">
        <v>3922</v>
      </c>
      <c r="AK414" s="44" t="s">
        <v>949</v>
      </c>
    </row>
    <row r="415" spans="1:37">
      <c r="B415" s="44" t="s">
        <v>1038</v>
      </c>
      <c r="C415" s="44" t="s">
        <v>1038</v>
      </c>
      <c r="D415" s="44" t="s">
        <v>3923</v>
      </c>
      <c r="E415" s="44" t="s">
        <v>2286</v>
      </c>
      <c r="F415" s="44" t="s">
        <v>1429</v>
      </c>
      <c r="G415" s="44" t="s">
        <v>1430</v>
      </c>
      <c r="I415" s="45">
        <v>45079.609136458334</v>
      </c>
      <c r="J415" s="44" t="s">
        <v>3924</v>
      </c>
      <c r="K415" s="44" t="s">
        <v>3925</v>
      </c>
      <c r="M415" s="44" t="s">
        <v>1039</v>
      </c>
      <c r="N415" s="46">
        <f>VLOOKUP(M415,'Spend Export'!$B:$E,4,FALSE)</f>
        <v>2910.29</v>
      </c>
      <c r="O415" s="44" t="s">
        <v>1429</v>
      </c>
      <c r="P415" s="44" t="s">
        <v>3926</v>
      </c>
      <c r="Q415" s="44" t="s">
        <v>1429</v>
      </c>
      <c r="R415" s="44" t="s">
        <v>20</v>
      </c>
      <c r="S415" s="44" t="s">
        <v>19</v>
      </c>
      <c r="T415" s="44" t="s">
        <v>1556</v>
      </c>
      <c r="U415" s="44" t="s">
        <v>1556</v>
      </c>
      <c r="V415" s="44" t="s">
        <v>3927</v>
      </c>
      <c r="W415" s="44" t="s">
        <v>3928</v>
      </c>
      <c r="X415" s="44" t="s">
        <v>1450</v>
      </c>
      <c r="Y415" s="44" t="s">
        <v>1386</v>
      </c>
      <c r="Z415" s="44" t="s">
        <v>1429</v>
      </c>
      <c r="AI415" s="44" t="s">
        <v>3929</v>
      </c>
      <c r="AK415" s="44" t="s">
        <v>1039</v>
      </c>
    </row>
    <row r="416" spans="1:37">
      <c r="B416" s="44" t="s">
        <v>1130</v>
      </c>
      <c r="C416" s="44" t="s">
        <v>1130</v>
      </c>
      <c r="D416" s="44" t="s">
        <v>3930</v>
      </c>
      <c r="E416" s="44" t="s">
        <v>1207</v>
      </c>
      <c r="F416" s="44" t="s">
        <v>1429</v>
      </c>
      <c r="G416" s="44" t="s">
        <v>1430</v>
      </c>
      <c r="I416" s="45">
        <v>42073.591299502317</v>
      </c>
      <c r="K416" s="44" t="s">
        <v>3931</v>
      </c>
      <c r="M416" s="44" t="s">
        <v>1131</v>
      </c>
      <c r="N416" s="46">
        <f>VLOOKUP(M416,'Spend Export'!$B:$E,4,FALSE)</f>
        <v>2905</v>
      </c>
      <c r="P416" s="44" t="s">
        <v>3932</v>
      </c>
      <c r="Q416" s="44" t="s">
        <v>1429</v>
      </c>
      <c r="R416" s="44" t="s">
        <v>20</v>
      </c>
      <c r="S416" s="44" t="s">
        <v>19</v>
      </c>
      <c r="T416" s="44" t="s">
        <v>1502</v>
      </c>
      <c r="U416" s="44" t="s">
        <v>1502</v>
      </c>
      <c r="X416" s="44" t="s">
        <v>1439</v>
      </c>
      <c r="Y416" s="44" t="s">
        <v>1429</v>
      </c>
      <c r="Z416" s="44" t="s">
        <v>1429</v>
      </c>
      <c r="AK416" s="44" t="s">
        <v>1131</v>
      </c>
    </row>
    <row r="417" spans="1:37">
      <c r="B417" s="44" t="s">
        <v>784</v>
      </c>
      <c r="C417" s="44" t="s">
        <v>784</v>
      </c>
      <c r="D417" s="44" t="s">
        <v>1764</v>
      </c>
      <c r="E417" s="44" t="s">
        <v>1617</v>
      </c>
      <c r="F417" s="44" t="s">
        <v>1429</v>
      </c>
      <c r="G417" s="44" t="s">
        <v>1430</v>
      </c>
      <c r="I417" s="45">
        <v>45110.441719178241</v>
      </c>
      <c r="J417" s="44" t="s">
        <v>3933</v>
      </c>
      <c r="K417" s="44" t="s">
        <v>3934</v>
      </c>
      <c r="M417" s="44" t="s">
        <v>785</v>
      </c>
      <c r="N417" s="46">
        <f>VLOOKUP(M417,'Spend Export'!$B:$E,4,FALSE)</f>
        <v>2840</v>
      </c>
      <c r="O417" s="44" t="s">
        <v>1429</v>
      </c>
      <c r="P417" s="44" t="s">
        <v>3935</v>
      </c>
      <c r="Q417" s="44" t="s">
        <v>1429</v>
      </c>
      <c r="R417" s="44" t="s">
        <v>20</v>
      </c>
      <c r="S417" s="44" t="s">
        <v>19</v>
      </c>
      <c r="T417" s="44" t="s">
        <v>1502</v>
      </c>
      <c r="U417" s="44" t="s">
        <v>1502</v>
      </c>
      <c r="V417" s="44" t="s">
        <v>3936</v>
      </c>
      <c r="W417" s="44" t="s">
        <v>3937</v>
      </c>
      <c r="X417" s="44" t="s">
        <v>1450</v>
      </c>
      <c r="Y417" s="44" t="s">
        <v>1386</v>
      </c>
      <c r="Z417" s="44" t="s">
        <v>1386</v>
      </c>
      <c r="AA417" s="44" t="s">
        <v>3938</v>
      </c>
      <c r="AH417" s="44" t="s">
        <v>1503</v>
      </c>
      <c r="AI417" s="44" t="s">
        <v>3939</v>
      </c>
      <c r="AK417" s="44" t="s">
        <v>785</v>
      </c>
    </row>
    <row r="418" spans="1:37">
      <c r="A418" s="44" t="s">
        <v>690</v>
      </c>
      <c r="B418" s="44" t="s">
        <v>690</v>
      </c>
      <c r="C418" s="44" t="s">
        <v>690</v>
      </c>
      <c r="D418" s="44" t="s">
        <v>3940</v>
      </c>
      <c r="E418" s="44" t="s">
        <v>1652</v>
      </c>
      <c r="F418" s="44" t="s">
        <v>3941</v>
      </c>
      <c r="G418" s="44" t="s">
        <v>1430</v>
      </c>
      <c r="H418" s="44" t="s">
        <v>1431</v>
      </c>
      <c r="I418" s="45">
        <v>43178.58161079861</v>
      </c>
      <c r="J418" s="44" t="s">
        <v>3942</v>
      </c>
      <c r="K418" s="44" t="s">
        <v>3943</v>
      </c>
      <c r="M418" s="44" t="s">
        <v>691</v>
      </c>
      <c r="N418" s="46">
        <f>VLOOKUP(M418,'Spend Export'!$B:$E,4,FALSE)</f>
        <v>2810</v>
      </c>
      <c r="O418" s="44" t="s">
        <v>1429</v>
      </c>
      <c r="P418" s="44" t="s">
        <v>3944</v>
      </c>
      <c r="Q418" s="44" t="s">
        <v>1429</v>
      </c>
      <c r="R418" s="44" t="s">
        <v>19</v>
      </c>
      <c r="S418" s="44" t="s">
        <v>19</v>
      </c>
      <c r="T418" s="44" t="s">
        <v>1708</v>
      </c>
      <c r="U418" s="44" t="s">
        <v>1708</v>
      </c>
      <c r="V418" s="44" t="s">
        <v>3945</v>
      </c>
      <c r="W418" s="44" t="s">
        <v>3941</v>
      </c>
      <c r="X418" s="44" t="s">
        <v>1461</v>
      </c>
      <c r="Y418" s="44" t="s">
        <v>1429</v>
      </c>
      <c r="Z418" s="44" t="s">
        <v>1386</v>
      </c>
      <c r="AI418" s="44" t="s">
        <v>3946</v>
      </c>
      <c r="AK418" s="44" t="s">
        <v>691</v>
      </c>
    </row>
    <row r="419" spans="1:37">
      <c r="B419" s="44" t="s">
        <v>822</v>
      </c>
      <c r="C419" s="44" t="s">
        <v>3947</v>
      </c>
      <c r="D419" s="44" t="s">
        <v>3948</v>
      </c>
      <c r="E419" s="44" t="s">
        <v>1207</v>
      </c>
      <c r="F419" s="44" t="s">
        <v>1429</v>
      </c>
      <c r="G419" s="44" t="s">
        <v>1430</v>
      </c>
      <c r="I419" s="45">
        <v>40266.590236111108</v>
      </c>
      <c r="K419" s="44" t="s">
        <v>3949</v>
      </c>
      <c r="M419" s="44" t="s">
        <v>1037</v>
      </c>
      <c r="N419" s="46">
        <f>VLOOKUP(M419,'Spend Export'!$B:$E,4,FALSE)</f>
        <v>2800</v>
      </c>
      <c r="O419" s="44" t="s">
        <v>1429</v>
      </c>
      <c r="P419" s="44" t="s">
        <v>3950</v>
      </c>
      <c r="Q419" s="44" t="s">
        <v>1429</v>
      </c>
      <c r="R419" s="44" t="s">
        <v>20</v>
      </c>
      <c r="S419" s="44" t="s">
        <v>19</v>
      </c>
      <c r="T419" s="44" t="s">
        <v>1502</v>
      </c>
      <c r="U419" s="44" t="s">
        <v>1502</v>
      </c>
      <c r="X419" s="44" t="s">
        <v>1461</v>
      </c>
      <c r="Y419" s="44" t="s">
        <v>1429</v>
      </c>
      <c r="Z419" s="44" t="s">
        <v>1429</v>
      </c>
      <c r="AK419" s="44" t="s">
        <v>1037</v>
      </c>
    </row>
    <row r="420" spans="1:37">
      <c r="B420" s="44" t="s">
        <v>712</v>
      </c>
      <c r="C420" s="44" t="s">
        <v>712</v>
      </c>
      <c r="D420" s="44" t="s">
        <v>1769</v>
      </c>
      <c r="E420" s="44" t="s">
        <v>1207</v>
      </c>
      <c r="F420" s="44" t="s">
        <v>3951</v>
      </c>
      <c r="G420" s="44" t="s">
        <v>1430</v>
      </c>
      <c r="I420" s="45">
        <v>38365.645793784723</v>
      </c>
      <c r="K420" s="44" t="s">
        <v>3952</v>
      </c>
      <c r="M420" s="44" t="s">
        <v>713</v>
      </c>
      <c r="N420" s="46">
        <f>VLOOKUP(M420,'Spend Export'!$B:$E,4,FALSE)</f>
        <v>2741.31</v>
      </c>
      <c r="P420" s="44" t="s">
        <v>3953</v>
      </c>
      <c r="Q420" s="44" t="s">
        <v>1429</v>
      </c>
      <c r="R420" s="44" t="s">
        <v>19</v>
      </c>
      <c r="S420" s="44" t="s">
        <v>19</v>
      </c>
      <c r="T420" s="44" t="s">
        <v>1708</v>
      </c>
      <c r="U420" s="44" t="s">
        <v>1708</v>
      </c>
      <c r="V420" s="44" t="s">
        <v>3954</v>
      </c>
      <c r="W420" s="44" t="s">
        <v>3951</v>
      </c>
      <c r="X420" s="44" t="s">
        <v>1439</v>
      </c>
      <c r="Y420" s="44" t="s">
        <v>1386</v>
      </c>
      <c r="Z420" s="44" t="s">
        <v>1429</v>
      </c>
      <c r="AG420" s="44" t="s">
        <v>2805</v>
      </c>
      <c r="AI420" s="44" t="s">
        <v>3955</v>
      </c>
      <c r="AK420" s="44" t="s">
        <v>713</v>
      </c>
    </row>
    <row r="421" spans="1:37">
      <c r="B421" s="44" t="s">
        <v>466</v>
      </c>
      <c r="C421" s="44" t="s">
        <v>466</v>
      </c>
      <c r="D421" s="44" t="s">
        <v>1562</v>
      </c>
      <c r="E421" s="44" t="s">
        <v>1207</v>
      </c>
      <c r="F421" s="44" t="s">
        <v>1429</v>
      </c>
      <c r="G421" s="44" t="s">
        <v>1430</v>
      </c>
      <c r="I421" s="45">
        <v>39119.555854085651</v>
      </c>
      <c r="K421" s="44" t="s">
        <v>3956</v>
      </c>
      <c r="M421" s="44" t="s">
        <v>467</v>
      </c>
      <c r="N421" s="46">
        <f>VLOOKUP(M421,'Spend Export'!$B:$E,4,FALSE)</f>
        <v>2681.25</v>
      </c>
      <c r="P421" s="44" t="s">
        <v>3957</v>
      </c>
      <c r="Q421" s="44" t="s">
        <v>1429</v>
      </c>
      <c r="R421" s="44" t="s">
        <v>20</v>
      </c>
      <c r="S421" s="44" t="s">
        <v>19</v>
      </c>
      <c r="T421" s="44" t="s">
        <v>1484</v>
      </c>
      <c r="U421" s="44" t="s">
        <v>1484</v>
      </c>
      <c r="V421" s="44" t="s">
        <v>3958</v>
      </c>
      <c r="W421" s="44" t="s">
        <v>3959</v>
      </c>
      <c r="X421" s="44" t="s">
        <v>1461</v>
      </c>
      <c r="Y421" s="44" t="s">
        <v>1386</v>
      </c>
      <c r="Z421" s="44" t="s">
        <v>1386</v>
      </c>
      <c r="AI421" s="44" t="s">
        <v>1835</v>
      </c>
      <c r="AK421" s="44" t="s">
        <v>467</v>
      </c>
    </row>
    <row r="422" spans="1:37">
      <c r="B422" s="44" t="s">
        <v>869</v>
      </c>
      <c r="C422" s="44" t="s">
        <v>869</v>
      </c>
      <c r="D422" s="44" t="s">
        <v>3960</v>
      </c>
      <c r="E422" s="44" t="s">
        <v>1491</v>
      </c>
      <c r="F422" s="44" t="s">
        <v>1429</v>
      </c>
      <c r="G422" s="44" t="s">
        <v>1430</v>
      </c>
      <c r="I422" s="45">
        <v>44389.532151770836</v>
      </c>
      <c r="J422" s="44" t="s">
        <v>3961</v>
      </c>
      <c r="K422" s="44" t="s">
        <v>3962</v>
      </c>
      <c r="M422" s="44" t="s">
        <v>870</v>
      </c>
      <c r="N422" s="46">
        <f>VLOOKUP(M422,'Spend Export'!$B:$E,4,FALSE)</f>
        <v>2500</v>
      </c>
      <c r="P422" s="44" t="s">
        <v>3963</v>
      </c>
      <c r="Q422" s="44" t="s">
        <v>1429</v>
      </c>
      <c r="R422" s="44" t="s">
        <v>20</v>
      </c>
      <c r="S422" s="44" t="s">
        <v>19</v>
      </c>
      <c r="T422" s="44" t="s">
        <v>1502</v>
      </c>
      <c r="U422" s="44" t="s">
        <v>1502</v>
      </c>
      <c r="V422" s="44" t="s">
        <v>3964</v>
      </c>
      <c r="W422" s="44" t="s">
        <v>3965</v>
      </c>
      <c r="X422" s="44" t="s">
        <v>1450</v>
      </c>
      <c r="Y422" s="44" t="s">
        <v>1429</v>
      </c>
      <c r="Z422" s="44" t="s">
        <v>1429</v>
      </c>
      <c r="AG422" s="44" t="s">
        <v>3961</v>
      </c>
      <c r="AI422" s="44" t="s">
        <v>3966</v>
      </c>
      <c r="AK422" s="44" t="s">
        <v>870</v>
      </c>
    </row>
    <row r="423" spans="1:37">
      <c r="B423" s="44" t="s">
        <v>970</v>
      </c>
      <c r="C423" s="44" t="s">
        <v>970</v>
      </c>
      <c r="D423" s="44" t="s">
        <v>1466</v>
      </c>
      <c r="E423" s="44" t="s">
        <v>1207</v>
      </c>
      <c r="F423" s="44" t="s">
        <v>1429</v>
      </c>
      <c r="G423" s="44" t="s">
        <v>1430</v>
      </c>
      <c r="I423" s="45">
        <v>45016.521392673611</v>
      </c>
      <c r="J423" s="44" t="s">
        <v>1981</v>
      </c>
      <c r="K423" s="44" t="s">
        <v>3967</v>
      </c>
      <c r="M423" s="44" t="s">
        <v>971</v>
      </c>
      <c r="N423" s="46">
        <f>VLOOKUP(M423,'Spend Export'!$B:$E,4,FALSE)</f>
        <v>2450</v>
      </c>
      <c r="O423" s="44" t="s">
        <v>1429</v>
      </c>
      <c r="P423" s="44" t="s">
        <v>3968</v>
      </c>
      <c r="Q423" s="44" t="s">
        <v>1429</v>
      </c>
      <c r="R423" s="44" t="s">
        <v>20</v>
      </c>
      <c r="S423" s="44" t="s">
        <v>19</v>
      </c>
      <c r="T423" s="44" t="s">
        <v>1502</v>
      </c>
      <c r="U423" s="44" t="s">
        <v>1502</v>
      </c>
      <c r="V423" s="44" t="s">
        <v>3969</v>
      </c>
      <c r="W423" s="44" t="s">
        <v>3970</v>
      </c>
      <c r="X423" s="44" t="s">
        <v>1461</v>
      </c>
      <c r="Y423" s="44" t="s">
        <v>1429</v>
      </c>
      <c r="Z423" s="44" t="s">
        <v>1429</v>
      </c>
      <c r="AI423" s="44" t="s">
        <v>3971</v>
      </c>
      <c r="AK423" s="44" t="s">
        <v>971</v>
      </c>
    </row>
    <row r="424" spans="1:37">
      <c r="B424" s="44" t="s">
        <v>1070</v>
      </c>
      <c r="C424" s="44" t="s">
        <v>1070</v>
      </c>
      <c r="D424" s="44" t="s">
        <v>3972</v>
      </c>
      <c r="E424" s="44" t="s">
        <v>1652</v>
      </c>
      <c r="F424" s="44" t="s">
        <v>3973</v>
      </c>
      <c r="G424" s="44" t="s">
        <v>1430</v>
      </c>
      <c r="I424" s="45">
        <v>44953.578568437501</v>
      </c>
      <c r="J424" s="44" t="s">
        <v>1687</v>
      </c>
      <c r="K424" s="44" t="s">
        <v>3974</v>
      </c>
      <c r="M424" s="44" t="s">
        <v>1071</v>
      </c>
      <c r="N424" s="46" t="e">
        <f>VLOOKUP(M424,'Spend Export'!$B:$E,4,FALSE)</f>
        <v>#N/A</v>
      </c>
      <c r="O424" s="44" t="s">
        <v>1429</v>
      </c>
      <c r="P424" s="44" t="s">
        <v>3975</v>
      </c>
      <c r="Q424" s="44" t="s">
        <v>1429</v>
      </c>
      <c r="R424" s="44" t="s">
        <v>20</v>
      </c>
      <c r="S424" s="44" t="s">
        <v>19</v>
      </c>
      <c r="T424" s="44" t="s">
        <v>1458</v>
      </c>
      <c r="U424" s="44" t="s">
        <v>1458</v>
      </c>
      <c r="V424" s="44" t="s">
        <v>3976</v>
      </c>
      <c r="W424" s="44" t="s">
        <v>3977</v>
      </c>
      <c r="X424" s="44" t="s">
        <v>1450</v>
      </c>
      <c r="Y424" s="44" t="s">
        <v>1429</v>
      </c>
      <c r="Z424" s="44" t="s">
        <v>1386</v>
      </c>
      <c r="AG424" s="44" t="s">
        <v>3978</v>
      </c>
      <c r="AI424" s="44" t="s">
        <v>3979</v>
      </c>
      <c r="AK424" s="44" t="s">
        <v>1071</v>
      </c>
    </row>
    <row r="425" spans="1:37">
      <c r="B425" s="44" t="s">
        <v>873</v>
      </c>
      <c r="C425" s="44" t="s">
        <v>873</v>
      </c>
      <c r="D425" s="44" t="s">
        <v>3980</v>
      </c>
      <c r="E425" s="44" t="s">
        <v>1207</v>
      </c>
      <c r="F425" s="44" t="s">
        <v>3981</v>
      </c>
      <c r="G425" s="44" t="s">
        <v>1430</v>
      </c>
      <c r="I425" s="45">
        <v>42291.59513642361</v>
      </c>
      <c r="K425" s="44" t="s">
        <v>3982</v>
      </c>
      <c r="M425" s="44" t="s">
        <v>874</v>
      </c>
      <c r="N425" s="46">
        <f>VLOOKUP(M425,'Spend Export'!$B:$E,4,FALSE)</f>
        <v>2380</v>
      </c>
      <c r="P425" s="44" t="s">
        <v>3983</v>
      </c>
      <c r="Q425" s="44" t="s">
        <v>1429</v>
      </c>
      <c r="R425" s="44" t="s">
        <v>20</v>
      </c>
      <c r="S425" s="44" t="s">
        <v>19</v>
      </c>
      <c r="T425" s="44" t="s">
        <v>1484</v>
      </c>
      <c r="U425" s="44" t="s">
        <v>1484</v>
      </c>
      <c r="X425" s="44" t="s">
        <v>1439</v>
      </c>
      <c r="Y425" s="44" t="s">
        <v>1429</v>
      </c>
      <c r="Z425" s="44" t="s">
        <v>1429</v>
      </c>
      <c r="AK425" s="44" t="s">
        <v>874</v>
      </c>
    </row>
    <row r="426" spans="1:37">
      <c r="B426" s="44" t="s">
        <v>3984</v>
      </c>
      <c r="C426" s="44" t="s">
        <v>3984</v>
      </c>
      <c r="D426" s="44" t="s">
        <v>1428</v>
      </c>
      <c r="E426" s="44" t="s">
        <v>1207</v>
      </c>
      <c r="F426" s="44" t="s">
        <v>3985</v>
      </c>
      <c r="G426" s="44" t="s">
        <v>1430</v>
      </c>
      <c r="I426" s="45">
        <v>43021.516295254631</v>
      </c>
      <c r="K426" s="44" t="s">
        <v>3986</v>
      </c>
      <c r="M426" s="44" t="s">
        <v>387</v>
      </c>
      <c r="N426" s="46">
        <f>VLOOKUP(M426,'Spend Export'!$B:$E,4,FALSE)</f>
        <v>2361</v>
      </c>
      <c r="P426" s="44" t="s">
        <v>3987</v>
      </c>
      <c r="Q426" s="44" t="s">
        <v>1429</v>
      </c>
      <c r="R426" s="44" t="s">
        <v>20</v>
      </c>
      <c r="S426" s="44" t="s">
        <v>19</v>
      </c>
      <c r="T426" s="44" t="s">
        <v>1502</v>
      </c>
      <c r="U426" s="44" t="s">
        <v>1502</v>
      </c>
      <c r="X426" s="44" t="s">
        <v>1584</v>
      </c>
      <c r="Y426" s="44" t="s">
        <v>1429</v>
      </c>
      <c r="Z426" s="44" t="s">
        <v>1429</v>
      </c>
      <c r="AI426" s="44" t="s">
        <v>3988</v>
      </c>
      <c r="AK426" s="44" t="s">
        <v>387</v>
      </c>
    </row>
    <row r="427" spans="1:37">
      <c r="B427" s="44" t="s">
        <v>1122</v>
      </c>
      <c r="C427" s="44" t="s">
        <v>1122</v>
      </c>
      <c r="D427" s="44" t="s">
        <v>1466</v>
      </c>
      <c r="E427" s="44" t="s">
        <v>1207</v>
      </c>
      <c r="F427" s="44" t="s">
        <v>1429</v>
      </c>
      <c r="G427" s="44" t="s">
        <v>1430</v>
      </c>
      <c r="I427" s="45">
        <v>44897.396977118056</v>
      </c>
      <c r="J427" s="44" t="s">
        <v>3989</v>
      </c>
      <c r="K427" s="44" t="s">
        <v>3990</v>
      </c>
      <c r="M427" s="44" t="s">
        <v>1123</v>
      </c>
      <c r="N427" s="46">
        <f>VLOOKUP(M427,'Spend Export'!$B:$E,4,FALSE)</f>
        <v>2310</v>
      </c>
      <c r="O427" s="44" t="s">
        <v>1429</v>
      </c>
      <c r="P427" s="44" t="s">
        <v>3991</v>
      </c>
      <c r="Q427" s="44" t="s">
        <v>1429</v>
      </c>
      <c r="R427" s="44" t="s">
        <v>20</v>
      </c>
      <c r="S427" s="44" t="s">
        <v>19</v>
      </c>
      <c r="T427" s="44" t="s">
        <v>1502</v>
      </c>
      <c r="U427" s="44" t="s">
        <v>1502</v>
      </c>
      <c r="V427" s="44" t="s">
        <v>3992</v>
      </c>
      <c r="W427" s="44" t="s">
        <v>3993</v>
      </c>
      <c r="X427" s="44" t="s">
        <v>1461</v>
      </c>
      <c r="Y427" s="44" t="s">
        <v>1386</v>
      </c>
      <c r="Z427" s="44" t="s">
        <v>1429</v>
      </c>
      <c r="AI427" s="44" t="s">
        <v>3994</v>
      </c>
      <c r="AK427" s="44" t="s">
        <v>1123</v>
      </c>
    </row>
    <row r="428" spans="1:37">
      <c r="B428" s="44" t="s">
        <v>877</v>
      </c>
      <c r="C428" s="44" t="s">
        <v>877</v>
      </c>
      <c r="D428" s="44" t="s">
        <v>1466</v>
      </c>
      <c r="E428" s="44" t="s">
        <v>1207</v>
      </c>
      <c r="F428" s="44" t="s">
        <v>1429</v>
      </c>
      <c r="G428" s="44" t="s">
        <v>1430</v>
      </c>
      <c r="I428" s="45">
        <v>45239.426116585651</v>
      </c>
      <c r="J428" s="44" t="s">
        <v>3995</v>
      </c>
      <c r="K428" s="44" t="s">
        <v>3996</v>
      </c>
      <c r="M428" s="44" t="s">
        <v>878</v>
      </c>
      <c r="N428" s="46" t="e">
        <f>VLOOKUP(M428,'Spend Export'!$B:$E,4,FALSE)</f>
        <v>#N/A</v>
      </c>
      <c r="O428" s="44" t="s">
        <v>1429</v>
      </c>
      <c r="P428" s="44" t="s">
        <v>3997</v>
      </c>
      <c r="Q428" s="44" t="s">
        <v>1429</v>
      </c>
      <c r="R428" s="44" t="s">
        <v>20</v>
      </c>
      <c r="S428" s="44" t="s">
        <v>19</v>
      </c>
      <c r="T428" s="44" t="s">
        <v>1458</v>
      </c>
      <c r="U428" s="44" t="s">
        <v>1458</v>
      </c>
      <c r="V428" s="44" t="s">
        <v>3998</v>
      </c>
      <c r="W428" s="44" t="s">
        <v>3999</v>
      </c>
      <c r="X428" s="44" t="s">
        <v>1450</v>
      </c>
      <c r="Y428" s="44" t="s">
        <v>1386</v>
      </c>
      <c r="Z428" s="44" t="s">
        <v>1386</v>
      </c>
      <c r="AI428" s="44" t="s">
        <v>4000</v>
      </c>
      <c r="AK428" s="44" t="s">
        <v>878</v>
      </c>
    </row>
    <row r="429" spans="1:37">
      <c r="B429" s="44" t="s">
        <v>1007</v>
      </c>
      <c r="C429" s="44" t="s">
        <v>1007</v>
      </c>
      <c r="D429" s="44" t="s">
        <v>3594</v>
      </c>
      <c r="E429" s="44" t="s">
        <v>1207</v>
      </c>
      <c r="F429" s="44" t="s">
        <v>1429</v>
      </c>
      <c r="G429" s="44" t="s">
        <v>1430</v>
      </c>
      <c r="I429" s="45">
        <v>42807.512385960646</v>
      </c>
      <c r="K429" s="44" t="s">
        <v>4001</v>
      </c>
      <c r="M429" s="44" t="s">
        <v>1008</v>
      </c>
      <c r="N429" s="46">
        <f>VLOOKUP(M429,'Spend Export'!$B:$E,4,FALSE)</f>
        <v>2082</v>
      </c>
      <c r="P429" s="44" t="s">
        <v>4002</v>
      </c>
      <c r="Q429" s="44" t="s">
        <v>1429</v>
      </c>
      <c r="R429" s="44" t="s">
        <v>19</v>
      </c>
      <c r="S429" s="44" t="s">
        <v>19</v>
      </c>
      <c r="T429" s="44" t="s">
        <v>1502</v>
      </c>
      <c r="U429" s="44" t="s">
        <v>1502</v>
      </c>
      <c r="V429" s="44" t="s">
        <v>4003</v>
      </c>
      <c r="W429" s="44" t="s">
        <v>4004</v>
      </c>
      <c r="X429" s="44" t="s">
        <v>1439</v>
      </c>
      <c r="Y429" s="44" t="s">
        <v>1429</v>
      </c>
      <c r="Z429" s="44" t="s">
        <v>1429</v>
      </c>
      <c r="AH429" s="44" t="s">
        <v>2700</v>
      </c>
      <c r="AK429" s="44" t="s">
        <v>4005</v>
      </c>
    </row>
    <row r="430" spans="1:37">
      <c r="B430" s="44" t="s">
        <v>902</v>
      </c>
      <c r="C430" s="44" t="s">
        <v>902</v>
      </c>
      <c r="D430" s="44" t="s">
        <v>1428</v>
      </c>
      <c r="E430" s="44" t="s">
        <v>1207</v>
      </c>
      <c r="F430" s="44" t="s">
        <v>4006</v>
      </c>
      <c r="G430" s="44" t="s">
        <v>1430</v>
      </c>
      <c r="I430" s="45">
        <v>37918.950718483793</v>
      </c>
      <c r="K430" s="44" t="s">
        <v>4007</v>
      </c>
      <c r="M430" s="44" t="s">
        <v>903</v>
      </c>
      <c r="N430" s="46">
        <f>VLOOKUP(M430,'Spend Export'!$B:$E,4,FALSE)</f>
        <v>2005</v>
      </c>
      <c r="P430" s="44" t="s">
        <v>4008</v>
      </c>
      <c r="Q430" s="44" t="s">
        <v>1429</v>
      </c>
      <c r="R430" s="44" t="s">
        <v>20</v>
      </c>
      <c r="S430" s="44" t="s">
        <v>19</v>
      </c>
      <c r="T430" s="44" t="s">
        <v>1502</v>
      </c>
      <c r="U430" s="44" t="s">
        <v>1502</v>
      </c>
      <c r="X430" s="44" t="s">
        <v>1439</v>
      </c>
      <c r="Y430" s="44" t="s">
        <v>1429</v>
      </c>
      <c r="Z430" s="44" t="s">
        <v>1429</v>
      </c>
      <c r="AK430" s="44" t="s">
        <v>903</v>
      </c>
    </row>
    <row r="431" spans="1:37">
      <c r="B431" s="44" t="s">
        <v>920</v>
      </c>
      <c r="C431" s="44" t="s">
        <v>920</v>
      </c>
      <c r="D431" s="44" t="s">
        <v>1522</v>
      </c>
      <c r="E431" s="44" t="s">
        <v>1207</v>
      </c>
      <c r="F431" s="44" t="s">
        <v>1429</v>
      </c>
      <c r="G431" s="44" t="s">
        <v>1430</v>
      </c>
      <c r="I431" s="45">
        <v>39058.640761921299</v>
      </c>
      <c r="J431" s="44" t="s">
        <v>4009</v>
      </c>
      <c r="K431" s="44" t="s">
        <v>4010</v>
      </c>
      <c r="M431" s="44" t="s">
        <v>921</v>
      </c>
      <c r="N431" s="46">
        <f>VLOOKUP(M431,'Spend Export'!$B:$E,4,FALSE)</f>
        <v>2000</v>
      </c>
      <c r="O431" s="44" t="s">
        <v>1429</v>
      </c>
      <c r="P431" s="44" t="s">
        <v>4011</v>
      </c>
      <c r="Q431" s="44" t="s">
        <v>1429</v>
      </c>
      <c r="R431" s="44" t="s">
        <v>20</v>
      </c>
      <c r="S431" s="44" t="s">
        <v>19</v>
      </c>
      <c r="T431" s="44" t="s">
        <v>1502</v>
      </c>
      <c r="U431" s="44" t="s">
        <v>1502</v>
      </c>
      <c r="X431" s="44" t="s">
        <v>1450</v>
      </c>
      <c r="Y431" s="44" t="s">
        <v>1429</v>
      </c>
      <c r="Z431" s="44" t="s">
        <v>1429</v>
      </c>
      <c r="AI431" s="44" t="s">
        <v>4012</v>
      </c>
      <c r="AK431" s="44" t="s">
        <v>921</v>
      </c>
    </row>
    <row r="432" spans="1:37">
      <c r="B432" s="44" t="s">
        <v>942</v>
      </c>
      <c r="C432" s="44" t="s">
        <v>942</v>
      </c>
      <c r="D432" s="44" t="s">
        <v>1769</v>
      </c>
      <c r="E432" s="44" t="s">
        <v>1207</v>
      </c>
      <c r="G432" s="44" t="s">
        <v>1430</v>
      </c>
      <c r="I432" s="45">
        <v>44660.366791168984</v>
      </c>
      <c r="J432" s="44" t="s">
        <v>1756</v>
      </c>
      <c r="K432" s="44" t="s">
        <v>4013</v>
      </c>
      <c r="M432" s="44" t="s">
        <v>943</v>
      </c>
      <c r="N432" s="46" t="e">
        <f>VLOOKUP(M432,'Spend Export'!$B:$E,4,FALSE)</f>
        <v>#N/A</v>
      </c>
      <c r="P432" s="44" t="s">
        <v>4014</v>
      </c>
      <c r="Q432" s="44" t="s">
        <v>1429</v>
      </c>
      <c r="R432" s="44" t="s">
        <v>20</v>
      </c>
      <c r="S432" s="44" t="s">
        <v>19</v>
      </c>
      <c r="T432" s="44" t="s">
        <v>1458</v>
      </c>
      <c r="U432" s="44" t="s">
        <v>1458</v>
      </c>
      <c r="V432" s="44" t="s">
        <v>4015</v>
      </c>
      <c r="W432" s="44" t="s">
        <v>4016</v>
      </c>
      <c r="X432" s="44" t="s">
        <v>1450</v>
      </c>
      <c r="Y432" s="44" t="s">
        <v>1386</v>
      </c>
      <c r="Z432" s="44" t="s">
        <v>1429</v>
      </c>
      <c r="AA432" s="44" t="s">
        <v>1761</v>
      </c>
      <c r="AI432" s="44" t="s">
        <v>4017</v>
      </c>
      <c r="AK432" s="44" t="s">
        <v>943</v>
      </c>
    </row>
    <row r="433" spans="2:37">
      <c r="B433" s="44" t="s">
        <v>696</v>
      </c>
      <c r="C433" s="44" t="s">
        <v>696</v>
      </c>
      <c r="D433" s="44" t="s">
        <v>4018</v>
      </c>
      <c r="E433" s="44" t="s">
        <v>4019</v>
      </c>
      <c r="F433" s="44" t="s">
        <v>1429</v>
      </c>
      <c r="G433" s="44" t="s">
        <v>1430</v>
      </c>
      <c r="I433" s="45">
        <v>45190.445426423612</v>
      </c>
      <c r="J433" s="44" t="s">
        <v>2574</v>
      </c>
      <c r="K433" s="44" t="s">
        <v>4020</v>
      </c>
      <c r="M433" s="44" t="s">
        <v>697</v>
      </c>
      <c r="N433" s="46">
        <f>VLOOKUP(M433,'Spend Export'!$B:$E,4,FALSE)</f>
        <v>1973.4299999999998</v>
      </c>
      <c r="O433" s="44" t="s">
        <v>1429</v>
      </c>
      <c r="P433" s="44" t="s">
        <v>1429</v>
      </c>
      <c r="Q433" s="44" t="s">
        <v>1429</v>
      </c>
      <c r="R433" s="44" t="s">
        <v>20</v>
      </c>
      <c r="S433" s="44" t="s">
        <v>19</v>
      </c>
      <c r="T433" s="44" t="s">
        <v>1519</v>
      </c>
      <c r="U433" s="44" t="s">
        <v>1519</v>
      </c>
      <c r="V433" s="44" t="s">
        <v>4021</v>
      </c>
      <c r="W433" s="44" t="s">
        <v>4022</v>
      </c>
      <c r="X433" s="44" t="s">
        <v>1450</v>
      </c>
      <c r="Y433" s="44" t="s">
        <v>1429</v>
      </c>
      <c r="Z433" s="44" t="s">
        <v>1429</v>
      </c>
      <c r="AI433" s="44" t="s">
        <v>4023</v>
      </c>
      <c r="AK433" s="44" t="s">
        <v>697</v>
      </c>
    </row>
    <row r="434" spans="2:37">
      <c r="B434" s="44" t="s">
        <v>4024</v>
      </c>
      <c r="C434" s="44" t="s">
        <v>4024</v>
      </c>
      <c r="D434" s="44" t="s">
        <v>1466</v>
      </c>
      <c r="E434" s="44" t="s">
        <v>1207</v>
      </c>
      <c r="F434" s="44" t="s">
        <v>1429</v>
      </c>
      <c r="G434" s="44" t="s">
        <v>1430</v>
      </c>
      <c r="I434" s="45">
        <v>43776.482789386573</v>
      </c>
      <c r="J434" s="44" t="s">
        <v>4025</v>
      </c>
      <c r="K434" s="44" t="s">
        <v>4026</v>
      </c>
      <c r="M434" s="44" t="s">
        <v>269</v>
      </c>
      <c r="N434" s="46">
        <f>VLOOKUP(M434,'Spend Export'!$B:$E,4,FALSE)</f>
        <v>1957.1900000000005</v>
      </c>
      <c r="P434" s="44" t="s">
        <v>4027</v>
      </c>
      <c r="Q434" s="44" t="s">
        <v>1429</v>
      </c>
      <c r="R434" s="44" t="s">
        <v>20</v>
      </c>
      <c r="S434" s="44" t="s">
        <v>19</v>
      </c>
      <c r="T434" s="44" t="s">
        <v>1556</v>
      </c>
      <c r="U434" s="44" t="s">
        <v>1556</v>
      </c>
      <c r="V434" s="44" t="s">
        <v>3945</v>
      </c>
      <c r="W434" s="44" t="s">
        <v>4028</v>
      </c>
      <c r="X434" s="44" t="s">
        <v>2283</v>
      </c>
      <c r="Y434" s="44" t="s">
        <v>1429</v>
      </c>
      <c r="Z434" s="44" t="s">
        <v>1429</v>
      </c>
      <c r="AG434" s="44" t="s">
        <v>1667</v>
      </c>
      <c r="AI434" s="44" t="s">
        <v>4029</v>
      </c>
      <c r="AK434" s="44" t="s">
        <v>269</v>
      </c>
    </row>
    <row r="435" spans="2:37">
      <c r="B435" s="44" t="s">
        <v>1152</v>
      </c>
      <c r="C435" s="44" t="s">
        <v>1152</v>
      </c>
      <c r="D435" s="44" t="s">
        <v>1443</v>
      </c>
      <c r="E435" s="44" t="s">
        <v>1207</v>
      </c>
      <c r="F435" s="44" t="s">
        <v>1429</v>
      </c>
      <c r="G435" s="44" t="s">
        <v>1430</v>
      </c>
      <c r="I435" s="45">
        <v>44013.707706215275</v>
      </c>
      <c r="J435" s="44" t="s">
        <v>3530</v>
      </c>
      <c r="K435" s="44" t="s">
        <v>4030</v>
      </c>
      <c r="M435" s="44" t="s">
        <v>1153</v>
      </c>
      <c r="N435" s="46">
        <f>VLOOKUP(M435,'Spend Export'!$B:$E,4,FALSE)</f>
        <v>1881.9</v>
      </c>
      <c r="P435" s="44" t="s">
        <v>4031</v>
      </c>
      <c r="Q435" s="44" t="s">
        <v>1429</v>
      </c>
      <c r="R435" s="44" t="s">
        <v>20</v>
      </c>
      <c r="S435" s="44" t="s">
        <v>19</v>
      </c>
      <c r="T435" s="44" t="s">
        <v>1502</v>
      </c>
      <c r="U435" s="44" t="s">
        <v>1502</v>
      </c>
      <c r="V435" s="44" t="s">
        <v>4032</v>
      </c>
      <c r="W435" s="44" t="s">
        <v>4033</v>
      </c>
      <c r="X435" s="44" t="s">
        <v>1594</v>
      </c>
      <c r="Y435" s="44" t="s">
        <v>1429</v>
      </c>
      <c r="Z435" s="44" t="s">
        <v>1429</v>
      </c>
      <c r="AI435" s="44" t="s">
        <v>4034</v>
      </c>
      <c r="AK435" s="44" t="s">
        <v>1153</v>
      </c>
    </row>
    <row r="436" spans="2:37">
      <c r="B436" s="44" t="s">
        <v>4035</v>
      </c>
      <c r="C436" s="44" t="s">
        <v>4035</v>
      </c>
      <c r="D436" s="44" t="s">
        <v>1466</v>
      </c>
      <c r="E436" s="44" t="s">
        <v>1207</v>
      </c>
      <c r="F436" s="44" t="s">
        <v>4036</v>
      </c>
      <c r="G436" s="44" t="s">
        <v>1430</v>
      </c>
      <c r="I436" s="45">
        <v>37918.725185497686</v>
      </c>
      <c r="K436" s="44" t="s">
        <v>4037</v>
      </c>
      <c r="M436" s="44" t="s">
        <v>1189</v>
      </c>
      <c r="N436" s="46">
        <f>VLOOKUP(M436,'Spend Export'!$B:$E,4,FALSE)</f>
        <v>1875</v>
      </c>
      <c r="P436" s="44" t="s">
        <v>4038</v>
      </c>
      <c r="Q436" s="44" t="s">
        <v>1429</v>
      </c>
      <c r="R436" s="44" t="s">
        <v>20</v>
      </c>
      <c r="S436" s="44" t="s">
        <v>19</v>
      </c>
      <c r="T436" s="44" t="s">
        <v>1502</v>
      </c>
      <c r="U436" s="44" t="s">
        <v>1502</v>
      </c>
      <c r="X436" s="44" t="s">
        <v>1439</v>
      </c>
      <c r="Y436" s="44" t="s">
        <v>1429</v>
      </c>
      <c r="Z436" s="44" t="s">
        <v>1429</v>
      </c>
      <c r="AK436" s="44" t="s">
        <v>1189</v>
      </c>
    </row>
    <row r="437" spans="2:37">
      <c r="B437" s="44" t="s">
        <v>598</v>
      </c>
      <c r="C437" s="44" t="s">
        <v>598</v>
      </c>
      <c r="D437" s="44" t="s">
        <v>4039</v>
      </c>
      <c r="E437" s="44" t="s">
        <v>1682</v>
      </c>
      <c r="F437" s="44" t="s">
        <v>1429</v>
      </c>
      <c r="G437" s="44" t="s">
        <v>1430</v>
      </c>
      <c r="I437" s="45">
        <v>45152.439797997686</v>
      </c>
      <c r="J437" s="44" t="s">
        <v>4040</v>
      </c>
      <c r="K437" s="44" t="s">
        <v>4041</v>
      </c>
      <c r="M437" s="44" t="s">
        <v>599</v>
      </c>
      <c r="N437" s="46">
        <f>VLOOKUP(M437,'Spend Export'!$B:$E,4,FALSE)</f>
        <v>1840</v>
      </c>
      <c r="O437" s="44" t="s">
        <v>1429</v>
      </c>
      <c r="P437" s="44" t="s">
        <v>4042</v>
      </c>
      <c r="Q437" s="44" t="s">
        <v>1429</v>
      </c>
      <c r="R437" s="44" t="s">
        <v>20</v>
      </c>
      <c r="S437" s="44" t="s">
        <v>19</v>
      </c>
      <c r="T437" s="44" t="s">
        <v>1484</v>
      </c>
      <c r="U437" s="44" t="s">
        <v>1484</v>
      </c>
      <c r="V437" s="44" t="s">
        <v>4043</v>
      </c>
      <c r="W437" s="44" t="s">
        <v>4044</v>
      </c>
      <c r="X437" s="44" t="s">
        <v>4045</v>
      </c>
      <c r="Y437" s="44" t="s">
        <v>1429</v>
      </c>
      <c r="Z437" s="44" t="s">
        <v>1429</v>
      </c>
      <c r="AI437" s="44" t="s">
        <v>4046</v>
      </c>
      <c r="AK437" s="44" t="s">
        <v>599</v>
      </c>
    </row>
    <row r="438" spans="2:37">
      <c r="B438" s="44" t="s">
        <v>412</v>
      </c>
      <c r="C438" s="44" t="s">
        <v>412</v>
      </c>
      <c r="D438" s="44" t="s">
        <v>4047</v>
      </c>
      <c r="E438" s="44" t="s">
        <v>3757</v>
      </c>
      <c r="F438" s="44" t="s">
        <v>1429</v>
      </c>
      <c r="G438" s="44" t="s">
        <v>1430</v>
      </c>
      <c r="I438" s="45">
        <v>44264.586261192133</v>
      </c>
      <c r="J438" s="44" t="s">
        <v>2446</v>
      </c>
      <c r="K438" s="44" t="s">
        <v>4048</v>
      </c>
      <c r="M438" s="44" t="s">
        <v>413</v>
      </c>
      <c r="N438" s="46">
        <f>VLOOKUP(M438,'Spend Export'!$B:$E,4,FALSE)</f>
        <v>1791.99</v>
      </c>
      <c r="P438" s="44" t="s">
        <v>4049</v>
      </c>
      <c r="Q438" s="44" t="s">
        <v>1429</v>
      </c>
      <c r="R438" s="44" t="s">
        <v>20</v>
      </c>
      <c r="S438" s="44" t="s">
        <v>19</v>
      </c>
      <c r="T438" s="44" t="s">
        <v>1502</v>
      </c>
      <c r="U438" s="44" t="s">
        <v>1502</v>
      </c>
      <c r="V438" s="44" t="s">
        <v>4050</v>
      </c>
      <c r="W438" s="44" t="s">
        <v>4051</v>
      </c>
      <c r="X438" s="44" t="s">
        <v>1584</v>
      </c>
      <c r="Y438" s="44" t="s">
        <v>1429</v>
      </c>
      <c r="Z438" s="44" t="s">
        <v>1429</v>
      </c>
      <c r="AG438" s="44" t="s">
        <v>2446</v>
      </c>
      <c r="AI438" s="44" t="s">
        <v>4052</v>
      </c>
      <c r="AK438" s="44" t="s">
        <v>413</v>
      </c>
    </row>
    <row r="439" spans="2:37">
      <c r="B439" s="44" t="s">
        <v>934</v>
      </c>
      <c r="C439" s="44" t="s">
        <v>934</v>
      </c>
      <c r="D439" s="44" t="s">
        <v>4053</v>
      </c>
      <c r="E439" s="44" t="s">
        <v>2072</v>
      </c>
      <c r="F439" s="44" t="s">
        <v>1429</v>
      </c>
      <c r="G439" s="44" t="s">
        <v>1430</v>
      </c>
      <c r="I439" s="45">
        <v>44942.47460439815</v>
      </c>
      <c r="J439" s="44" t="s">
        <v>4054</v>
      </c>
      <c r="K439" s="44" t="s">
        <v>4055</v>
      </c>
      <c r="M439" s="44" t="s">
        <v>935</v>
      </c>
      <c r="N439" s="46">
        <f>VLOOKUP(M439,'Spend Export'!$B:$E,4,FALSE)</f>
        <v>1693.82</v>
      </c>
      <c r="O439" s="44" t="s">
        <v>1429</v>
      </c>
      <c r="P439" s="44" t="s">
        <v>4056</v>
      </c>
      <c r="Q439" s="44" t="s">
        <v>1429</v>
      </c>
      <c r="R439" s="44" t="s">
        <v>20</v>
      </c>
      <c r="S439" s="44" t="s">
        <v>19</v>
      </c>
      <c r="T439" s="44" t="s">
        <v>1556</v>
      </c>
      <c r="U439" s="44" t="s">
        <v>1556</v>
      </c>
      <c r="V439" s="44" t="s">
        <v>4057</v>
      </c>
      <c r="W439" s="44" t="s">
        <v>4058</v>
      </c>
      <c r="X439" s="44" t="s">
        <v>1450</v>
      </c>
      <c r="Y439" s="44" t="s">
        <v>1386</v>
      </c>
      <c r="Z439" s="44" t="s">
        <v>1429</v>
      </c>
      <c r="AI439" s="44" t="s">
        <v>4059</v>
      </c>
      <c r="AK439" s="44" t="s">
        <v>935</v>
      </c>
    </row>
    <row r="440" spans="2:37">
      <c r="B440" s="44" t="s">
        <v>1064</v>
      </c>
      <c r="C440" s="44" t="s">
        <v>1064</v>
      </c>
      <c r="D440" s="44" t="s">
        <v>1522</v>
      </c>
      <c r="E440" s="44" t="s">
        <v>1207</v>
      </c>
      <c r="F440" s="44" t="s">
        <v>1429</v>
      </c>
      <c r="G440" s="44" t="s">
        <v>1430</v>
      </c>
      <c r="I440" s="45">
        <v>44130.732621064817</v>
      </c>
      <c r="J440" s="44" t="s">
        <v>4060</v>
      </c>
      <c r="K440" s="44" t="s">
        <v>4061</v>
      </c>
      <c r="M440" s="44" t="s">
        <v>1065</v>
      </c>
      <c r="N440" s="46">
        <f>VLOOKUP(M440,'Spend Export'!$B:$E,4,FALSE)</f>
        <v>1645</v>
      </c>
      <c r="P440" s="44" t="s">
        <v>4062</v>
      </c>
      <c r="Q440" s="44" t="s">
        <v>1429</v>
      </c>
      <c r="R440" s="44" t="s">
        <v>20</v>
      </c>
      <c r="S440" s="44" t="s">
        <v>19</v>
      </c>
      <c r="T440" s="44" t="s">
        <v>1484</v>
      </c>
      <c r="U440" s="44" t="s">
        <v>1484</v>
      </c>
      <c r="V440" s="44" t="s">
        <v>4063</v>
      </c>
      <c r="W440" s="44" t="s">
        <v>4064</v>
      </c>
      <c r="X440" s="44" t="s">
        <v>1450</v>
      </c>
      <c r="Y440" s="44" t="s">
        <v>1429</v>
      </c>
      <c r="Z440" s="44" t="s">
        <v>1429</v>
      </c>
      <c r="AI440" s="44" t="s">
        <v>4065</v>
      </c>
      <c r="AK440" s="44" t="s">
        <v>1065</v>
      </c>
    </row>
    <row r="441" spans="2:37">
      <c r="B441" s="44" t="s">
        <v>912</v>
      </c>
      <c r="C441" s="44" t="s">
        <v>912</v>
      </c>
      <c r="D441" s="44" t="s">
        <v>4066</v>
      </c>
      <c r="E441" s="44" t="s">
        <v>1491</v>
      </c>
      <c r="G441" s="44" t="s">
        <v>1430</v>
      </c>
      <c r="I441" s="45">
        <v>44819.64536072917</v>
      </c>
      <c r="J441" s="44" t="s">
        <v>3123</v>
      </c>
      <c r="K441" s="44" t="s">
        <v>4067</v>
      </c>
      <c r="M441" s="44" t="s">
        <v>913</v>
      </c>
      <c r="N441" s="46">
        <f>VLOOKUP(M441,'Spend Export'!$B:$E,4,FALSE)</f>
        <v>1605</v>
      </c>
      <c r="P441" s="44" t="s">
        <v>4068</v>
      </c>
      <c r="Q441" s="44" t="s">
        <v>1429</v>
      </c>
      <c r="R441" s="44" t="s">
        <v>20</v>
      </c>
      <c r="S441" s="44" t="s">
        <v>20</v>
      </c>
      <c r="T441" s="44" t="s">
        <v>1708</v>
      </c>
      <c r="U441" s="44" t="s">
        <v>1708</v>
      </c>
      <c r="V441" s="44" t="s">
        <v>4069</v>
      </c>
      <c r="W441" s="44" t="s">
        <v>4070</v>
      </c>
      <c r="X441" s="44" t="s">
        <v>1450</v>
      </c>
      <c r="Y441" s="44" t="s">
        <v>1429</v>
      </c>
      <c r="Z441" s="44" t="s">
        <v>1429</v>
      </c>
      <c r="AI441" s="44" t="s">
        <v>4071</v>
      </c>
      <c r="AK441" s="44" t="s">
        <v>913</v>
      </c>
    </row>
    <row r="442" spans="2:37">
      <c r="B442" s="44" t="s">
        <v>840</v>
      </c>
      <c r="C442" s="44" t="s">
        <v>840</v>
      </c>
      <c r="D442" s="44" t="s">
        <v>1428</v>
      </c>
      <c r="E442" s="44" t="s">
        <v>1207</v>
      </c>
      <c r="F442" s="44" t="s">
        <v>1429</v>
      </c>
      <c r="G442" s="44" t="s">
        <v>1430</v>
      </c>
      <c r="I442" s="45">
        <v>38043.819321493058</v>
      </c>
      <c r="K442" s="44" t="s">
        <v>4072</v>
      </c>
      <c r="M442" s="44" t="s">
        <v>841</v>
      </c>
      <c r="N442" s="46">
        <f>VLOOKUP(M442,'Spend Export'!$B:$E,4,FALSE)</f>
        <v>1600</v>
      </c>
      <c r="P442" s="44" t="s">
        <v>4073</v>
      </c>
      <c r="Q442" s="44" t="s">
        <v>1429</v>
      </c>
      <c r="R442" s="44" t="s">
        <v>20</v>
      </c>
      <c r="S442" s="44" t="s">
        <v>19</v>
      </c>
      <c r="T442" s="44" t="s">
        <v>1484</v>
      </c>
      <c r="U442" s="44" t="s">
        <v>1484</v>
      </c>
      <c r="X442" s="44" t="s">
        <v>1584</v>
      </c>
      <c r="Y442" s="44" t="s">
        <v>1429</v>
      </c>
      <c r="Z442" s="44" t="s">
        <v>1429</v>
      </c>
      <c r="AK442" s="44" t="s">
        <v>841</v>
      </c>
    </row>
    <row r="443" spans="2:37">
      <c r="B443" s="44" t="s">
        <v>213</v>
      </c>
      <c r="C443" s="44" t="s">
        <v>4074</v>
      </c>
      <c r="D443" s="44" t="s">
        <v>1466</v>
      </c>
      <c r="E443" s="44" t="s">
        <v>1207</v>
      </c>
      <c r="F443" s="44" t="s">
        <v>4075</v>
      </c>
      <c r="G443" s="44" t="s">
        <v>1430</v>
      </c>
      <c r="I443" s="45">
        <v>37918.944287534723</v>
      </c>
      <c r="K443" s="44" t="s">
        <v>1778</v>
      </c>
      <c r="L443" s="44" t="s">
        <v>1779</v>
      </c>
      <c r="M443" s="44" t="s">
        <v>883</v>
      </c>
      <c r="N443" s="46">
        <f>VLOOKUP(M443,'Spend Export'!$B:$E,4,FALSE)</f>
        <v>1548.7</v>
      </c>
      <c r="O443" s="44" t="s">
        <v>1429</v>
      </c>
      <c r="P443" s="44" t="s">
        <v>1780</v>
      </c>
      <c r="Q443" s="44" t="s">
        <v>1429</v>
      </c>
      <c r="R443" s="44" t="s">
        <v>20</v>
      </c>
      <c r="S443" s="44" t="s">
        <v>19</v>
      </c>
      <c r="T443" s="44" t="s">
        <v>1708</v>
      </c>
      <c r="U443" s="44" t="s">
        <v>1708</v>
      </c>
      <c r="X443" s="44" t="s">
        <v>2451</v>
      </c>
      <c r="Y443" s="44" t="s">
        <v>1429</v>
      </c>
      <c r="Z443" s="44" t="s">
        <v>1386</v>
      </c>
      <c r="AK443" s="44" t="s">
        <v>883</v>
      </c>
    </row>
    <row r="444" spans="2:37">
      <c r="B444" s="44" t="s">
        <v>996</v>
      </c>
      <c r="C444" s="44" t="s">
        <v>996</v>
      </c>
      <c r="D444" s="44" t="s">
        <v>4076</v>
      </c>
      <c r="E444" s="44" t="s">
        <v>1207</v>
      </c>
      <c r="F444" s="44" t="s">
        <v>4077</v>
      </c>
      <c r="G444" s="44" t="s">
        <v>1430</v>
      </c>
      <c r="I444" s="45">
        <v>40217.603109374999</v>
      </c>
      <c r="K444" s="44" t="s">
        <v>4078</v>
      </c>
      <c r="M444" s="44" t="s">
        <v>997</v>
      </c>
      <c r="N444" s="46">
        <f>VLOOKUP(M444,'Spend Export'!$B:$E,4,FALSE)</f>
        <v>1544.5</v>
      </c>
      <c r="P444" s="44" t="s">
        <v>4079</v>
      </c>
      <c r="Q444" s="44" t="s">
        <v>1429</v>
      </c>
      <c r="R444" s="44" t="s">
        <v>20</v>
      </c>
      <c r="S444" s="44" t="s">
        <v>19</v>
      </c>
      <c r="T444" s="44" t="s">
        <v>1502</v>
      </c>
      <c r="U444" s="44" t="s">
        <v>1502</v>
      </c>
      <c r="X444" s="44" t="s">
        <v>1584</v>
      </c>
      <c r="Y444" s="44" t="s">
        <v>1429</v>
      </c>
      <c r="Z444" s="44" t="s">
        <v>1429</v>
      </c>
      <c r="AK444" s="44" t="s">
        <v>997</v>
      </c>
    </row>
    <row r="445" spans="2:37">
      <c r="B445" s="44" t="s">
        <v>760</v>
      </c>
      <c r="C445" s="44" t="s">
        <v>760</v>
      </c>
      <c r="D445" s="44" t="s">
        <v>1769</v>
      </c>
      <c r="E445" s="44" t="s">
        <v>1207</v>
      </c>
      <c r="F445" s="44" t="s">
        <v>1429</v>
      </c>
      <c r="G445" s="44" t="s">
        <v>1430</v>
      </c>
      <c r="I445" s="45">
        <v>44700.622694097219</v>
      </c>
      <c r="J445" s="44" t="s">
        <v>3239</v>
      </c>
      <c r="K445" s="44" t="s">
        <v>4080</v>
      </c>
      <c r="M445" s="44" t="s">
        <v>761</v>
      </c>
      <c r="N445" s="46">
        <f>VLOOKUP(M445,'Spend Export'!$B:$E,4,FALSE)</f>
        <v>1520</v>
      </c>
      <c r="O445" s="44" t="s">
        <v>1429</v>
      </c>
      <c r="P445" s="44" t="s">
        <v>4081</v>
      </c>
      <c r="Q445" s="44" t="s">
        <v>1429</v>
      </c>
      <c r="R445" s="44" t="s">
        <v>20</v>
      </c>
      <c r="S445" s="44" t="s">
        <v>19</v>
      </c>
      <c r="T445" s="44" t="s">
        <v>1556</v>
      </c>
      <c r="U445" s="44" t="s">
        <v>1556</v>
      </c>
      <c r="V445" s="44" t="s">
        <v>4082</v>
      </c>
      <c r="W445" s="44" t="s">
        <v>4083</v>
      </c>
      <c r="X445" s="44" t="s">
        <v>1450</v>
      </c>
      <c r="Y445" s="44" t="s">
        <v>1386</v>
      </c>
      <c r="Z445" s="44" t="s">
        <v>1429</v>
      </c>
      <c r="AC445" s="44" t="s">
        <v>4084</v>
      </c>
      <c r="AI445" s="44" t="s">
        <v>4085</v>
      </c>
      <c r="AK445" s="44" t="s">
        <v>761</v>
      </c>
    </row>
    <row r="446" spans="2:37">
      <c r="B446" s="44" t="s">
        <v>922</v>
      </c>
      <c r="C446" s="44" t="s">
        <v>922</v>
      </c>
      <c r="D446" s="44" t="s">
        <v>4086</v>
      </c>
      <c r="E446" s="44" t="s">
        <v>1682</v>
      </c>
      <c r="F446" s="44" t="s">
        <v>1429</v>
      </c>
      <c r="G446" s="44" t="s">
        <v>1430</v>
      </c>
      <c r="I446" s="45">
        <v>44827.503156446757</v>
      </c>
      <c r="J446" s="44" t="s">
        <v>4087</v>
      </c>
      <c r="K446" s="44" t="s">
        <v>4088</v>
      </c>
      <c r="M446" s="44" t="s">
        <v>923</v>
      </c>
      <c r="N446" s="46">
        <f>VLOOKUP(M446,'Spend Export'!$B:$E,4,FALSE)</f>
        <v>1500</v>
      </c>
      <c r="O446" s="44" t="s">
        <v>1429</v>
      </c>
      <c r="P446" s="44" t="s">
        <v>4089</v>
      </c>
      <c r="Q446" s="44" t="s">
        <v>1429</v>
      </c>
      <c r="R446" s="44" t="s">
        <v>19</v>
      </c>
      <c r="S446" s="44" t="s">
        <v>19</v>
      </c>
      <c r="T446" s="44" t="s">
        <v>1708</v>
      </c>
      <c r="U446" s="44" t="s">
        <v>1708</v>
      </c>
      <c r="V446" s="44" t="s">
        <v>4090</v>
      </c>
      <c r="W446" s="44" t="s">
        <v>4091</v>
      </c>
      <c r="X446" s="44" t="s">
        <v>1584</v>
      </c>
      <c r="Y446" s="44" t="s">
        <v>1429</v>
      </c>
      <c r="Z446" s="44" t="s">
        <v>1386</v>
      </c>
      <c r="AI446" s="44" t="s">
        <v>4092</v>
      </c>
      <c r="AK446" s="44" t="s">
        <v>923</v>
      </c>
    </row>
    <row r="447" spans="2:37">
      <c r="B447" s="44" t="s">
        <v>800</v>
      </c>
      <c r="C447" s="44" t="s">
        <v>800</v>
      </c>
      <c r="D447" s="44" t="s">
        <v>1428</v>
      </c>
      <c r="E447" s="44" t="s">
        <v>1207</v>
      </c>
      <c r="F447" s="44" t="s">
        <v>1429</v>
      </c>
      <c r="G447" s="44" t="s">
        <v>1430</v>
      </c>
      <c r="I447" s="45">
        <v>44743.368113078701</v>
      </c>
      <c r="J447" s="44" t="s">
        <v>4093</v>
      </c>
      <c r="K447" s="44" t="s">
        <v>4094</v>
      </c>
      <c r="M447" s="44" t="s">
        <v>801</v>
      </c>
      <c r="N447" s="46">
        <f>VLOOKUP(M447,'Spend Export'!$B:$E,4,FALSE)</f>
        <v>1500</v>
      </c>
      <c r="O447" s="44" t="s">
        <v>1429</v>
      </c>
      <c r="P447" s="44" t="s">
        <v>4095</v>
      </c>
      <c r="Q447" s="44" t="s">
        <v>1429</v>
      </c>
      <c r="R447" s="44" t="s">
        <v>20</v>
      </c>
      <c r="S447" s="44" t="s">
        <v>19</v>
      </c>
      <c r="T447" s="44" t="s">
        <v>1502</v>
      </c>
      <c r="U447" s="44" t="s">
        <v>1502</v>
      </c>
      <c r="V447" s="44" t="s">
        <v>4096</v>
      </c>
      <c r="W447" s="44" t="s">
        <v>4097</v>
      </c>
      <c r="X447" s="44" t="s">
        <v>1450</v>
      </c>
      <c r="Y447" s="44" t="s">
        <v>1429</v>
      </c>
      <c r="Z447" s="44" t="s">
        <v>1429</v>
      </c>
      <c r="AI447" s="44" t="s">
        <v>4098</v>
      </c>
      <c r="AK447" s="44" t="s">
        <v>801</v>
      </c>
    </row>
    <row r="448" spans="2:37">
      <c r="B448" s="44" t="s">
        <v>1001</v>
      </c>
      <c r="C448" s="44" t="s">
        <v>1001</v>
      </c>
      <c r="D448" s="44" t="s">
        <v>1443</v>
      </c>
      <c r="E448" s="44" t="s">
        <v>1207</v>
      </c>
      <c r="F448" s="44" t="s">
        <v>1429</v>
      </c>
      <c r="G448" s="44" t="s">
        <v>1430</v>
      </c>
      <c r="I448" s="45">
        <v>45243.701463391204</v>
      </c>
      <c r="J448" s="44" t="s">
        <v>2348</v>
      </c>
      <c r="K448" s="44" t="s">
        <v>4099</v>
      </c>
      <c r="M448" s="44" t="s">
        <v>1002</v>
      </c>
      <c r="N448" s="46">
        <f>VLOOKUP(M448,'Spend Export'!$B:$E,4,FALSE)</f>
        <v>1500</v>
      </c>
      <c r="O448" s="44" t="s">
        <v>1429</v>
      </c>
      <c r="P448" s="44" t="s">
        <v>4100</v>
      </c>
      <c r="Q448" s="44" t="s">
        <v>1429</v>
      </c>
      <c r="R448" s="44" t="s">
        <v>19</v>
      </c>
      <c r="S448" s="44" t="s">
        <v>19</v>
      </c>
      <c r="T448" s="44" t="s">
        <v>1484</v>
      </c>
      <c r="U448" s="44" t="s">
        <v>1484</v>
      </c>
      <c r="V448" s="44" t="s">
        <v>4101</v>
      </c>
      <c r="W448" s="44" t="s">
        <v>4102</v>
      </c>
      <c r="X448" s="44" t="s">
        <v>1461</v>
      </c>
      <c r="Y448" s="44" t="s">
        <v>1429</v>
      </c>
      <c r="Z448" s="44" t="s">
        <v>1429</v>
      </c>
      <c r="AI448" s="44" t="s">
        <v>4103</v>
      </c>
      <c r="AK448" s="44" t="s">
        <v>1002</v>
      </c>
    </row>
    <row r="449" spans="1:37">
      <c r="B449" s="44" t="s">
        <v>1082</v>
      </c>
      <c r="C449" s="44" t="s">
        <v>1082</v>
      </c>
      <c r="D449" s="44" t="s">
        <v>1428</v>
      </c>
      <c r="E449" s="44" t="s">
        <v>1207</v>
      </c>
      <c r="F449" s="44" t="s">
        <v>1429</v>
      </c>
      <c r="G449" s="44" t="s">
        <v>1430</v>
      </c>
      <c r="I449" s="45">
        <v>44685.406615821761</v>
      </c>
      <c r="J449" s="44" t="s">
        <v>2551</v>
      </c>
      <c r="K449" s="44" t="s">
        <v>4104</v>
      </c>
      <c r="M449" s="44" t="s">
        <v>1083</v>
      </c>
      <c r="N449" s="46">
        <f>VLOOKUP(M449,'Spend Export'!$B:$E,4,FALSE)</f>
        <v>1500</v>
      </c>
      <c r="O449" s="44" t="s">
        <v>1429</v>
      </c>
      <c r="P449" s="44" t="s">
        <v>4105</v>
      </c>
      <c r="Q449" s="44" t="s">
        <v>1429</v>
      </c>
      <c r="R449" s="44" t="s">
        <v>20</v>
      </c>
      <c r="S449" s="44" t="s">
        <v>20</v>
      </c>
      <c r="T449" s="44" t="s">
        <v>1484</v>
      </c>
      <c r="U449" s="44" t="s">
        <v>1484</v>
      </c>
      <c r="V449" s="44" t="s">
        <v>4106</v>
      </c>
      <c r="W449" s="44" t="s">
        <v>4107</v>
      </c>
      <c r="X449" s="44" t="s">
        <v>1450</v>
      </c>
      <c r="Y449" s="44" t="s">
        <v>1429</v>
      </c>
      <c r="Z449" s="44" t="s">
        <v>1429</v>
      </c>
      <c r="AI449" s="44" t="s">
        <v>4108</v>
      </c>
      <c r="AK449" s="44" t="s">
        <v>1083</v>
      </c>
    </row>
    <row r="450" spans="1:37">
      <c r="B450" s="44" t="s">
        <v>986</v>
      </c>
      <c r="C450" s="44" t="s">
        <v>986</v>
      </c>
      <c r="D450" s="44" t="s">
        <v>1428</v>
      </c>
      <c r="E450" s="44" t="s">
        <v>1207</v>
      </c>
      <c r="F450" s="44" t="s">
        <v>1429</v>
      </c>
      <c r="G450" s="44" t="s">
        <v>1430</v>
      </c>
      <c r="I450" s="45">
        <v>45098.587102858794</v>
      </c>
      <c r="J450" s="44" t="s">
        <v>4109</v>
      </c>
      <c r="K450" s="44" t="s">
        <v>4110</v>
      </c>
      <c r="M450" s="44" t="s">
        <v>987</v>
      </c>
      <c r="N450" s="46">
        <f>VLOOKUP(M450,'Spend Export'!$B:$E,4,FALSE)</f>
        <v>1470</v>
      </c>
      <c r="O450" s="44" t="s">
        <v>1429</v>
      </c>
      <c r="P450" s="44" t="s">
        <v>4111</v>
      </c>
      <c r="Q450" s="44" t="s">
        <v>1429</v>
      </c>
      <c r="R450" s="44" t="s">
        <v>20</v>
      </c>
      <c r="S450" s="44" t="s">
        <v>19</v>
      </c>
      <c r="T450" s="44" t="s">
        <v>4112</v>
      </c>
      <c r="U450" s="44" t="s">
        <v>1556</v>
      </c>
      <c r="V450" s="44" t="s">
        <v>4113</v>
      </c>
      <c r="W450" s="44" t="s">
        <v>4114</v>
      </c>
      <c r="X450" s="44" t="s">
        <v>1450</v>
      </c>
      <c r="Y450" s="44" t="s">
        <v>1429</v>
      </c>
      <c r="Z450" s="44" t="s">
        <v>1429</v>
      </c>
      <c r="AI450" s="44" t="s">
        <v>4115</v>
      </c>
      <c r="AK450" s="44" t="s">
        <v>987</v>
      </c>
    </row>
    <row r="451" spans="1:37">
      <c r="B451" s="44" t="s">
        <v>1110</v>
      </c>
      <c r="C451" s="44" t="s">
        <v>1110</v>
      </c>
      <c r="D451" s="44" t="s">
        <v>4116</v>
      </c>
      <c r="E451" s="44" t="s">
        <v>4117</v>
      </c>
      <c r="F451" s="44" t="s">
        <v>1429</v>
      </c>
      <c r="G451" s="44" t="s">
        <v>1430</v>
      </c>
      <c r="I451" s="45">
        <v>44490.508650694443</v>
      </c>
      <c r="J451" s="44" t="s">
        <v>4118</v>
      </c>
      <c r="K451" s="44" t="s">
        <v>4119</v>
      </c>
      <c r="M451" s="44" t="s">
        <v>1111</v>
      </c>
      <c r="N451" s="46">
        <f>VLOOKUP(M451,'Spend Export'!$B:$E,4,FALSE)</f>
        <v>1461</v>
      </c>
      <c r="O451" s="44" t="s">
        <v>1429</v>
      </c>
      <c r="P451" s="44" t="s">
        <v>4120</v>
      </c>
      <c r="Q451" s="44" t="s">
        <v>1429</v>
      </c>
      <c r="R451" s="44" t="s">
        <v>20</v>
      </c>
      <c r="S451" s="44" t="s">
        <v>19</v>
      </c>
      <c r="T451" s="44" t="s">
        <v>1484</v>
      </c>
      <c r="U451" s="44" t="s">
        <v>1484</v>
      </c>
      <c r="V451" s="44" t="s">
        <v>4121</v>
      </c>
      <c r="W451" s="44" t="s">
        <v>4122</v>
      </c>
      <c r="X451" s="44" t="s">
        <v>1461</v>
      </c>
      <c r="Y451" s="44" t="s">
        <v>1429</v>
      </c>
      <c r="Z451" s="44" t="s">
        <v>1386</v>
      </c>
      <c r="AI451" s="44" t="s">
        <v>4123</v>
      </c>
      <c r="AK451" s="44" t="s">
        <v>1111</v>
      </c>
    </row>
    <row r="452" spans="1:37">
      <c r="B452" s="44" t="s">
        <v>392</v>
      </c>
      <c r="C452" s="44" t="s">
        <v>392</v>
      </c>
      <c r="D452" s="44" t="s">
        <v>1769</v>
      </c>
      <c r="E452" s="44" t="s">
        <v>1207</v>
      </c>
      <c r="F452" s="44" t="s">
        <v>1429</v>
      </c>
      <c r="G452" s="44" t="s">
        <v>1430</v>
      </c>
      <c r="I452" s="45">
        <v>41772.365680358795</v>
      </c>
      <c r="K452" s="44" t="s">
        <v>4124</v>
      </c>
      <c r="M452" s="44" t="s">
        <v>393</v>
      </c>
      <c r="N452" s="46">
        <f>VLOOKUP(M452,'Spend Export'!$B:$E,4,FALSE)</f>
        <v>1401.9</v>
      </c>
      <c r="P452" s="44" t="s">
        <v>4125</v>
      </c>
      <c r="Q452" s="44" t="s">
        <v>1429</v>
      </c>
      <c r="R452" s="44" t="s">
        <v>19</v>
      </c>
      <c r="S452" s="44" t="s">
        <v>19</v>
      </c>
      <c r="T452" s="44" t="s">
        <v>1502</v>
      </c>
      <c r="U452" s="44" t="s">
        <v>1502</v>
      </c>
      <c r="X452" s="44" t="s">
        <v>1439</v>
      </c>
      <c r="Y452" s="44" t="s">
        <v>1429</v>
      </c>
      <c r="Z452" s="44" t="s">
        <v>1429</v>
      </c>
      <c r="AK452" s="44" t="s">
        <v>393</v>
      </c>
    </row>
    <row r="453" spans="1:37">
      <c r="B453" s="44" t="s">
        <v>894</v>
      </c>
      <c r="C453" s="44" t="s">
        <v>894</v>
      </c>
      <c r="D453" s="44" t="s">
        <v>1490</v>
      </c>
      <c r="E453" s="44" t="s">
        <v>1491</v>
      </c>
      <c r="F453" s="44" t="s">
        <v>4126</v>
      </c>
      <c r="G453" s="44" t="s">
        <v>1430</v>
      </c>
      <c r="I453" s="45">
        <v>44544.544236724534</v>
      </c>
      <c r="J453" s="44" t="s">
        <v>4127</v>
      </c>
      <c r="K453" s="44" t="s">
        <v>4128</v>
      </c>
      <c r="M453" s="44" t="s">
        <v>895</v>
      </c>
      <c r="N453" s="46">
        <f>VLOOKUP(M453,'Spend Export'!$B:$E,4,FALSE)</f>
        <v>1397.92</v>
      </c>
      <c r="O453" s="44" t="s">
        <v>1429</v>
      </c>
      <c r="P453" s="44" t="s">
        <v>4129</v>
      </c>
      <c r="Q453" s="44" t="s">
        <v>1429</v>
      </c>
      <c r="R453" s="44" t="s">
        <v>20</v>
      </c>
      <c r="S453" s="44" t="s">
        <v>19</v>
      </c>
      <c r="T453" s="44" t="s">
        <v>1556</v>
      </c>
      <c r="U453" s="44" t="s">
        <v>1556</v>
      </c>
      <c r="V453" s="44" t="s">
        <v>4130</v>
      </c>
      <c r="W453" s="44" t="s">
        <v>4126</v>
      </c>
      <c r="X453" s="44" t="s">
        <v>1450</v>
      </c>
      <c r="Y453" s="44" t="s">
        <v>1386</v>
      </c>
      <c r="Z453" s="44" t="s">
        <v>1429</v>
      </c>
      <c r="AI453" s="44" t="s">
        <v>4131</v>
      </c>
      <c r="AK453" s="44" t="s">
        <v>895</v>
      </c>
    </row>
    <row r="454" spans="1:37">
      <c r="B454" s="44" t="s">
        <v>956</v>
      </c>
      <c r="C454" s="44" t="s">
        <v>956</v>
      </c>
      <c r="D454" s="44" t="s">
        <v>3756</v>
      </c>
      <c r="E454" s="44" t="s">
        <v>3757</v>
      </c>
      <c r="F454" s="44" t="s">
        <v>4132</v>
      </c>
      <c r="G454" s="44" t="s">
        <v>1430</v>
      </c>
      <c r="I454" s="45">
        <v>42233.396770335647</v>
      </c>
      <c r="K454" s="44" t="s">
        <v>4133</v>
      </c>
      <c r="M454" s="44" t="s">
        <v>957</v>
      </c>
      <c r="N454" s="46" t="e">
        <f>VLOOKUP(M454,'Spend Export'!$B:$E,4,FALSE)</f>
        <v>#N/A</v>
      </c>
      <c r="P454" s="44" t="s">
        <v>4134</v>
      </c>
      <c r="Q454" s="44" t="s">
        <v>1429</v>
      </c>
      <c r="R454" s="44" t="s">
        <v>20</v>
      </c>
      <c r="S454" s="44" t="s">
        <v>19</v>
      </c>
      <c r="T454" s="44" t="s">
        <v>1458</v>
      </c>
      <c r="U454" s="44" t="s">
        <v>1458</v>
      </c>
      <c r="X454" s="44" t="s">
        <v>1439</v>
      </c>
      <c r="Y454" s="44" t="s">
        <v>1429</v>
      </c>
      <c r="Z454" s="44" t="s">
        <v>1429</v>
      </c>
      <c r="AK454" s="44" t="s">
        <v>957</v>
      </c>
    </row>
    <row r="455" spans="1:37">
      <c r="B455" s="44" t="s">
        <v>738</v>
      </c>
      <c r="C455" s="44" t="s">
        <v>738</v>
      </c>
      <c r="D455" s="44" t="s">
        <v>1490</v>
      </c>
      <c r="E455" s="44" t="s">
        <v>1491</v>
      </c>
      <c r="G455" s="44" t="s">
        <v>1430</v>
      </c>
      <c r="I455" s="45">
        <v>44819.645354479166</v>
      </c>
      <c r="J455" s="44" t="s">
        <v>3123</v>
      </c>
      <c r="K455" s="44" t="s">
        <v>4135</v>
      </c>
      <c r="M455" s="44" t="s">
        <v>739</v>
      </c>
      <c r="N455" s="46">
        <f>VLOOKUP(M455,'Spend Export'!$B:$E,4,FALSE)</f>
        <v>1307.6300000000001</v>
      </c>
      <c r="P455" s="44" t="s">
        <v>4136</v>
      </c>
      <c r="Q455" s="44" t="s">
        <v>1429</v>
      </c>
      <c r="R455" s="44" t="s">
        <v>20</v>
      </c>
      <c r="S455" s="44" t="s">
        <v>20</v>
      </c>
      <c r="T455" s="44" t="s">
        <v>1484</v>
      </c>
      <c r="U455" s="44" t="s">
        <v>1484</v>
      </c>
      <c r="V455" s="44" t="s">
        <v>4137</v>
      </c>
      <c r="W455" s="44" t="s">
        <v>4138</v>
      </c>
      <c r="X455" s="44" t="s">
        <v>1450</v>
      </c>
      <c r="Y455" s="44" t="s">
        <v>1429</v>
      </c>
      <c r="Z455" s="44" t="s">
        <v>1386</v>
      </c>
      <c r="AH455" s="44" t="s">
        <v>1488</v>
      </c>
      <c r="AI455" s="44" t="s">
        <v>4139</v>
      </c>
      <c r="AK455" s="44" t="s">
        <v>739</v>
      </c>
    </row>
    <row r="456" spans="1:37">
      <c r="B456" s="44" t="s">
        <v>966</v>
      </c>
      <c r="C456" s="44" t="s">
        <v>966</v>
      </c>
      <c r="D456" s="44" t="s">
        <v>1428</v>
      </c>
      <c r="E456" s="44" t="s">
        <v>1207</v>
      </c>
      <c r="F456" s="44" t="s">
        <v>1429</v>
      </c>
      <c r="G456" s="44" t="s">
        <v>1430</v>
      </c>
      <c r="I456" s="45">
        <v>44162.622149305556</v>
      </c>
      <c r="J456" s="44" t="s">
        <v>1719</v>
      </c>
      <c r="K456" s="44" t="s">
        <v>4140</v>
      </c>
      <c r="M456" s="44" t="s">
        <v>967</v>
      </c>
      <c r="N456" s="46" t="e">
        <f>VLOOKUP(M456,'Spend Export'!$B:$E,4,FALSE)</f>
        <v>#N/A</v>
      </c>
      <c r="P456" s="44" t="s">
        <v>4141</v>
      </c>
      <c r="Q456" s="44" t="s">
        <v>1429</v>
      </c>
      <c r="R456" s="44" t="s">
        <v>20</v>
      </c>
      <c r="S456" s="44" t="s">
        <v>19</v>
      </c>
      <c r="T456" s="44" t="s">
        <v>1458</v>
      </c>
      <c r="U456" s="44" t="s">
        <v>1458</v>
      </c>
      <c r="V456" s="44" t="s">
        <v>4142</v>
      </c>
      <c r="W456" s="44" t="s">
        <v>4143</v>
      </c>
      <c r="X456" s="44" t="s">
        <v>1439</v>
      </c>
      <c r="Y456" s="44" t="s">
        <v>1429</v>
      </c>
      <c r="Z456" s="44" t="s">
        <v>1386</v>
      </c>
      <c r="AA456" s="44" t="s">
        <v>1719</v>
      </c>
      <c r="AI456" s="44" t="s">
        <v>4144</v>
      </c>
      <c r="AK456" s="44" t="s">
        <v>967</v>
      </c>
    </row>
    <row r="457" spans="1:37">
      <c r="A457" s="44" t="s">
        <v>710</v>
      </c>
      <c r="B457" s="44" t="s">
        <v>710</v>
      </c>
      <c r="C457" s="44" t="s">
        <v>710</v>
      </c>
      <c r="D457" s="44" t="s">
        <v>4145</v>
      </c>
      <c r="E457" s="44" t="s">
        <v>1883</v>
      </c>
      <c r="F457" s="44" t="s">
        <v>4146</v>
      </c>
      <c r="G457" s="44" t="s">
        <v>1430</v>
      </c>
      <c r="H457" s="44" t="s">
        <v>1431</v>
      </c>
      <c r="I457" s="45">
        <v>40869.679826157408</v>
      </c>
      <c r="K457" s="44" t="s">
        <v>4147</v>
      </c>
      <c r="M457" s="44" t="s">
        <v>711</v>
      </c>
      <c r="N457" s="46">
        <f>VLOOKUP(M457,'Spend Export'!$B:$E,4,FALSE)</f>
        <v>1294.0999999999999</v>
      </c>
      <c r="O457" s="44" t="s">
        <v>1429</v>
      </c>
      <c r="P457" s="44" t="s">
        <v>4148</v>
      </c>
      <c r="Q457" s="44" t="s">
        <v>1429</v>
      </c>
      <c r="R457" s="44" t="s">
        <v>19</v>
      </c>
      <c r="S457" s="44" t="s">
        <v>19</v>
      </c>
      <c r="T457" s="44" t="s">
        <v>1484</v>
      </c>
      <c r="U457" s="44" t="s">
        <v>1484</v>
      </c>
      <c r="V457" s="44" t="s">
        <v>4149</v>
      </c>
      <c r="W457" s="44" t="s">
        <v>4150</v>
      </c>
      <c r="X457" s="44" t="s">
        <v>1450</v>
      </c>
      <c r="Y457" s="44" t="s">
        <v>1429</v>
      </c>
      <c r="Z457" s="44" t="s">
        <v>1429</v>
      </c>
      <c r="AI457" s="44" t="s">
        <v>4151</v>
      </c>
      <c r="AK457" s="44" t="s">
        <v>711</v>
      </c>
    </row>
    <row r="458" spans="1:37">
      <c r="B458" s="44" t="s">
        <v>1162</v>
      </c>
      <c r="C458" s="44" t="s">
        <v>1162</v>
      </c>
      <c r="D458" s="44" t="s">
        <v>1428</v>
      </c>
      <c r="E458" s="44" t="s">
        <v>1207</v>
      </c>
      <c r="F458" s="44" t="s">
        <v>1429</v>
      </c>
      <c r="G458" s="44" t="s">
        <v>1430</v>
      </c>
      <c r="I458" s="45">
        <v>38044.711795949072</v>
      </c>
      <c r="J458" s="44" t="s">
        <v>4152</v>
      </c>
      <c r="K458" s="44" t="s">
        <v>4153</v>
      </c>
      <c r="M458" s="44" t="s">
        <v>1163</v>
      </c>
      <c r="N458" s="46">
        <f>VLOOKUP(M458,'Spend Export'!$B:$E,4,FALSE)</f>
        <v>1290</v>
      </c>
      <c r="O458" s="44" t="s">
        <v>1429</v>
      </c>
      <c r="P458" s="44" t="s">
        <v>4154</v>
      </c>
      <c r="Q458" s="44" t="s">
        <v>1429</v>
      </c>
      <c r="R458" s="44" t="s">
        <v>20</v>
      </c>
      <c r="S458" s="44" t="s">
        <v>19</v>
      </c>
      <c r="T458" s="44" t="s">
        <v>1502</v>
      </c>
      <c r="U458" s="44" t="s">
        <v>1502</v>
      </c>
      <c r="X458" s="44" t="s">
        <v>2775</v>
      </c>
      <c r="Y458" s="44" t="s">
        <v>1429</v>
      </c>
      <c r="Z458" s="44" t="s">
        <v>1429</v>
      </c>
      <c r="AI458" s="44" t="s">
        <v>4155</v>
      </c>
      <c r="AK458" s="44" t="s">
        <v>1163</v>
      </c>
    </row>
    <row r="459" spans="1:37">
      <c r="A459" s="44" t="s">
        <v>4156</v>
      </c>
      <c r="B459" s="44" t="s">
        <v>736</v>
      </c>
      <c r="C459" s="44" t="s">
        <v>736</v>
      </c>
      <c r="D459" s="44" t="s">
        <v>1490</v>
      </c>
      <c r="E459" s="44" t="s">
        <v>1491</v>
      </c>
      <c r="F459" s="44" t="s">
        <v>1429</v>
      </c>
      <c r="G459" s="44" t="s">
        <v>1430</v>
      </c>
      <c r="H459" s="44" t="s">
        <v>1431</v>
      </c>
      <c r="I459" s="45">
        <v>45195.602684803242</v>
      </c>
      <c r="J459" s="44" t="s">
        <v>3174</v>
      </c>
      <c r="K459" s="44" t="s">
        <v>4157</v>
      </c>
      <c r="M459" s="44" t="s">
        <v>737</v>
      </c>
      <c r="N459" s="46">
        <f>VLOOKUP(M459,'Spend Export'!$B:$E,4,FALSE)</f>
        <v>1288.73</v>
      </c>
      <c r="O459" s="44" t="s">
        <v>1429</v>
      </c>
      <c r="P459" s="44" t="s">
        <v>4158</v>
      </c>
      <c r="Q459" s="44" t="s">
        <v>1429</v>
      </c>
      <c r="R459" s="44" t="s">
        <v>20</v>
      </c>
      <c r="S459" s="44" t="s">
        <v>20</v>
      </c>
      <c r="T459" s="44" t="s">
        <v>1484</v>
      </c>
      <c r="U459" s="44" t="s">
        <v>1484</v>
      </c>
      <c r="V459" s="44" t="s">
        <v>4159</v>
      </c>
      <c r="W459" s="44" t="s">
        <v>4160</v>
      </c>
      <c r="X459" s="44" t="s">
        <v>1450</v>
      </c>
      <c r="Y459" s="44" t="s">
        <v>1429</v>
      </c>
      <c r="Z459" s="44" t="s">
        <v>1429</v>
      </c>
      <c r="AH459" s="44" t="s">
        <v>4161</v>
      </c>
      <c r="AI459" s="44" t="s">
        <v>4162</v>
      </c>
      <c r="AK459" s="44" t="s">
        <v>737</v>
      </c>
    </row>
    <row r="460" spans="1:37">
      <c r="B460" s="44" t="s">
        <v>1074</v>
      </c>
      <c r="C460" s="44" t="s">
        <v>1074</v>
      </c>
      <c r="D460" s="44" t="s">
        <v>4163</v>
      </c>
      <c r="E460" s="44" t="s">
        <v>1207</v>
      </c>
      <c r="F460" s="44" t="s">
        <v>4164</v>
      </c>
      <c r="G460" s="44" t="s">
        <v>1430</v>
      </c>
      <c r="I460" s="45">
        <v>38709.515350578702</v>
      </c>
      <c r="K460" s="44" t="s">
        <v>4165</v>
      </c>
      <c r="M460" s="44" t="s">
        <v>1075</v>
      </c>
      <c r="N460" s="46">
        <f>VLOOKUP(M460,'Spend Export'!$B:$E,4,FALSE)</f>
        <v>1287.5</v>
      </c>
      <c r="P460" s="44" t="s">
        <v>4166</v>
      </c>
      <c r="Q460" s="44" t="s">
        <v>1429</v>
      </c>
      <c r="R460" s="44" t="s">
        <v>20</v>
      </c>
      <c r="S460" s="44" t="s">
        <v>19</v>
      </c>
      <c r="T460" s="44" t="s">
        <v>1502</v>
      </c>
      <c r="U460" s="44" t="s">
        <v>1502</v>
      </c>
      <c r="X460" s="44" t="s">
        <v>1439</v>
      </c>
      <c r="Y460" s="44" t="s">
        <v>1429</v>
      </c>
      <c r="Z460" s="44" t="s">
        <v>1429</v>
      </c>
      <c r="AK460" s="44" t="s">
        <v>1075</v>
      </c>
    </row>
    <row r="461" spans="1:37">
      <c r="B461" s="44" t="s">
        <v>853</v>
      </c>
      <c r="C461" s="44" t="s">
        <v>853</v>
      </c>
      <c r="D461" s="44" t="s">
        <v>4167</v>
      </c>
      <c r="E461" s="44" t="s">
        <v>1207</v>
      </c>
      <c r="F461" s="44" t="s">
        <v>4168</v>
      </c>
      <c r="G461" s="44" t="s">
        <v>1430</v>
      </c>
      <c r="I461" s="45">
        <v>44749.473494016202</v>
      </c>
      <c r="J461" s="44" t="s">
        <v>3911</v>
      </c>
      <c r="K461" s="44" t="s">
        <v>4169</v>
      </c>
      <c r="M461" s="44" t="s">
        <v>854</v>
      </c>
      <c r="N461" s="46">
        <f>VLOOKUP(M461,'Spend Export'!$B:$E,4,FALSE)</f>
        <v>1115</v>
      </c>
      <c r="O461" s="44" t="s">
        <v>1429</v>
      </c>
      <c r="P461" s="44" t="s">
        <v>4170</v>
      </c>
      <c r="Q461" s="44" t="s">
        <v>1429</v>
      </c>
      <c r="R461" s="44" t="s">
        <v>20</v>
      </c>
      <c r="S461" s="44" t="s">
        <v>19</v>
      </c>
      <c r="T461" s="44" t="s">
        <v>1502</v>
      </c>
      <c r="U461" s="44" t="s">
        <v>1502</v>
      </c>
      <c r="V461" s="44" t="s">
        <v>4171</v>
      </c>
      <c r="W461" s="44" t="s">
        <v>4172</v>
      </c>
      <c r="X461" s="44" t="s">
        <v>1450</v>
      </c>
      <c r="Y461" s="44" t="s">
        <v>1386</v>
      </c>
      <c r="Z461" s="44" t="s">
        <v>1429</v>
      </c>
      <c r="AI461" s="44" t="s">
        <v>4173</v>
      </c>
      <c r="AK461" s="44" t="s">
        <v>854</v>
      </c>
    </row>
    <row r="462" spans="1:37">
      <c r="A462" s="44" t="s">
        <v>4174</v>
      </c>
      <c r="B462" s="44" t="s">
        <v>1054</v>
      </c>
      <c r="C462" s="44" t="s">
        <v>1054</v>
      </c>
      <c r="D462" s="44" t="s">
        <v>1651</v>
      </c>
      <c r="E462" s="44" t="s">
        <v>1652</v>
      </c>
      <c r="F462" s="44" t="s">
        <v>1429</v>
      </c>
      <c r="G462" s="44" t="s">
        <v>1430</v>
      </c>
      <c r="H462" s="44" t="s">
        <v>1431</v>
      </c>
      <c r="I462" s="45">
        <v>44140.670848298614</v>
      </c>
      <c r="J462" s="44" t="s">
        <v>4175</v>
      </c>
      <c r="K462" s="44" t="s">
        <v>4176</v>
      </c>
      <c r="M462" s="44" t="s">
        <v>1055</v>
      </c>
      <c r="N462" s="46">
        <f>VLOOKUP(M462,'Spend Export'!$B:$E,4,FALSE)</f>
        <v>1054.1300000000001</v>
      </c>
      <c r="O462" s="44" t="s">
        <v>1429</v>
      </c>
      <c r="P462" s="44" t="s">
        <v>4177</v>
      </c>
      <c r="Q462" s="44" t="s">
        <v>1429</v>
      </c>
      <c r="R462" s="44" t="s">
        <v>20</v>
      </c>
      <c r="S462" s="44" t="s">
        <v>19</v>
      </c>
      <c r="T462" s="44" t="s">
        <v>4178</v>
      </c>
      <c r="U462" s="44" t="s">
        <v>4179</v>
      </c>
      <c r="V462" s="44" t="s">
        <v>4180</v>
      </c>
      <c r="W462" s="44" t="s">
        <v>4181</v>
      </c>
      <c r="X462" s="44" t="s">
        <v>1461</v>
      </c>
      <c r="Y462" s="44" t="s">
        <v>1429</v>
      </c>
      <c r="Z462" s="44" t="s">
        <v>1429</v>
      </c>
      <c r="AI462" s="44" t="s">
        <v>4182</v>
      </c>
      <c r="AK462" s="44" t="s">
        <v>1055</v>
      </c>
    </row>
    <row r="463" spans="1:37">
      <c r="B463" s="44" t="s">
        <v>1011</v>
      </c>
      <c r="C463" s="44" t="s">
        <v>1011</v>
      </c>
      <c r="D463" s="44" t="s">
        <v>1428</v>
      </c>
      <c r="E463" s="44" t="s">
        <v>1207</v>
      </c>
      <c r="F463" s="44" t="s">
        <v>4183</v>
      </c>
      <c r="G463" s="44" t="s">
        <v>1430</v>
      </c>
      <c r="I463" s="45">
        <v>44266.498365277781</v>
      </c>
      <c r="J463" s="44" t="s">
        <v>1981</v>
      </c>
      <c r="K463" s="44" t="s">
        <v>4184</v>
      </c>
      <c r="M463" s="44" t="s">
        <v>1012</v>
      </c>
      <c r="N463" s="46">
        <f>VLOOKUP(M463,'Spend Export'!$B:$E,4,FALSE)</f>
        <v>1000</v>
      </c>
      <c r="P463" s="44" t="s">
        <v>4185</v>
      </c>
      <c r="Q463" s="44" t="s">
        <v>1429</v>
      </c>
      <c r="R463" s="44" t="s">
        <v>20</v>
      </c>
      <c r="S463" s="44" t="s">
        <v>19</v>
      </c>
      <c r="T463" s="44" t="s">
        <v>1964</v>
      </c>
      <c r="U463" s="44" t="s">
        <v>1964</v>
      </c>
      <c r="V463" s="44" t="s">
        <v>4186</v>
      </c>
      <c r="W463" s="44" t="s">
        <v>4187</v>
      </c>
      <c r="X463" s="44" t="s">
        <v>1450</v>
      </c>
      <c r="Y463" s="44" t="s">
        <v>1429</v>
      </c>
      <c r="Z463" s="44" t="s">
        <v>1386</v>
      </c>
      <c r="AI463" s="44" t="s">
        <v>4188</v>
      </c>
      <c r="AK463" s="44" t="s">
        <v>1012</v>
      </c>
    </row>
    <row r="464" spans="1:37">
      <c r="B464" s="44" t="s">
        <v>1040</v>
      </c>
      <c r="C464" s="44" t="s">
        <v>1040</v>
      </c>
      <c r="D464" s="44" t="s">
        <v>4189</v>
      </c>
      <c r="E464" s="44" t="s">
        <v>1207</v>
      </c>
      <c r="F464" s="44" t="s">
        <v>1429</v>
      </c>
      <c r="G464" s="44" t="s">
        <v>1430</v>
      </c>
      <c r="I464" s="45">
        <v>45083.415964467589</v>
      </c>
      <c r="J464" s="44" t="s">
        <v>4190</v>
      </c>
      <c r="K464" s="44" t="s">
        <v>4191</v>
      </c>
      <c r="M464" s="44" t="s">
        <v>1041</v>
      </c>
      <c r="N464" s="46">
        <f>VLOOKUP(M464,'Spend Export'!$B:$E,4,FALSE)</f>
        <v>1000</v>
      </c>
      <c r="O464" s="44" t="s">
        <v>1429</v>
      </c>
      <c r="P464" s="44" t="s">
        <v>4192</v>
      </c>
      <c r="Q464" s="44" t="s">
        <v>1429</v>
      </c>
      <c r="R464" s="44" t="s">
        <v>20</v>
      </c>
      <c r="S464" s="44" t="s">
        <v>20</v>
      </c>
      <c r="T464" s="44" t="s">
        <v>1484</v>
      </c>
      <c r="U464" s="44" t="s">
        <v>1484</v>
      </c>
      <c r="V464" s="44" t="s">
        <v>4193</v>
      </c>
      <c r="W464" s="44" t="s">
        <v>4194</v>
      </c>
      <c r="X464" s="44" t="s">
        <v>1450</v>
      </c>
      <c r="Y464" s="44" t="s">
        <v>1429</v>
      </c>
      <c r="Z464" s="44" t="s">
        <v>1429</v>
      </c>
      <c r="AI464" s="44" t="s">
        <v>4195</v>
      </c>
      <c r="AK464" s="44" t="s">
        <v>1041</v>
      </c>
    </row>
    <row r="465" spans="1:37">
      <c r="B465" s="44" t="s">
        <v>647</v>
      </c>
      <c r="C465" s="44" t="s">
        <v>647</v>
      </c>
      <c r="D465" s="44" t="s">
        <v>1428</v>
      </c>
      <c r="E465" s="44" t="s">
        <v>1207</v>
      </c>
      <c r="F465" s="44" t="s">
        <v>4196</v>
      </c>
      <c r="G465" s="44" t="s">
        <v>1430</v>
      </c>
      <c r="I465" s="45">
        <v>37918.907798379631</v>
      </c>
      <c r="K465" s="44" t="s">
        <v>4197</v>
      </c>
      <c r="M465" s="44" t="s">
        <v>648</v>
      </c>
      <c r="N465" s="46">
        <f>VLOOKUP(M465,'Spend Export'!$B:$E,4,FALSE)</f>
        <v>978.04</v>
      </c>
      <c r="O465" s="44" t="s">
        <v>1429</v>
      </c>
      <c r="P465" s="44" t="s">
        <v>4198</v>
      </c>
      <c r="Q465" s="44" t="s">
        <v>1429</v>
      </c>
      <c r="R465" s="44" t="s">
        <v>20</v>
      </c>
      <c r="S465" s="44" t="s">
        <v>19</v>
      </c>
      <c r="T465" s="44" t="s">
        <v>4199</v>
      </c>
      <c r="U465" s="44" t="s">
        <v>1502</v>
      </c>
      <c r="V465" s="44" t="s">
        <v>4200</v>
      </c>
      <c r="W465" s="44" t="s">
        <v>4196</v>
      </c>
      <c r="X465" s="44" t="s">
        <v>4201</v>
      </c>
      <c r="Y465" s="44" t="s">
        <v>1429</v>
      </c>
      <c r="Z465" s="44" t="s">
        <v>1429</v>
      </c>
      <c r="AG465" s="44" t="s">
        <v>2277</v>
      </c>
      <c r="AI465" s="44" t="s">
        <v>4202</v>
      </c>
      <c r="AK465" s="44" t="s">
        <v>648</v>
      </c>
    </row>
    <row r="466" spans="1:37">
      <c r="B466" s="44" t="s">
        <v>431</v>
      </c>
      <c r="C466" s="44" t="s">
        <v>431</v>
      </c>
      <c r="D466" s="44" t="s">
        <v>2723</v>
      </c>
      <c r="E466" s="44" t="s">
        <v>2724</v>
      </c>
      <c r="F466" s="44" t="s">
        <v>1429</v>
      </c>
      <c r="G466" s="44" t="s">
        <v>1430</v>
      </c>
      <c r="I466" s="45">
        <v>44313.421883252318</v>
      </c>
      <c r="J466" s="44" t="s">
        <v>2057</v>
      </c>
      <c r="K466" s="44" t="s">
        <v>4203</v>
      </c>
      <c r="M466" s="44" t="s">
        <v>432</v>
      </c>
      <c r="N466" s="46">
        <f>VLOOKUP(M466,'Spend Export'!$B:$E,4,FALSE)</f>
        <v>942.56</v>
      </c>
      <c r="P466" s="44" t="s">
        <v>4204</v>
      </c>
      <c r="Q466" s="44" t="s">
        <v>1429</v>
      </c>
      <c r="R466" s="44" t="s">
        <v>20</v>
      </c>
      <c r="S466" s="44" t="s">
        <v>19</v>
      </c>
      <c r="T466" s="44" t="s">
        <v>1484</v>
      </c>
      <c r="U466" s="44" t="s">
        <v>1484</v>
      </c>
      <c r="V466" s="44" t="s">
        <v>4205</v>
      </c>
      <c r="W466" s="44" t="s">
        <v>4206</v>
      </c>
      <c r="X466" s="44" t="s">
        <v>1461</v>
      </c>
      <c r="Y466" s="44" t="s">
        <v>1429</v>
      </c>
      <c r="Z466" s="44" t="s">
        <v>1429</v>
      </c>
      <c r="AI466" s="44" t="s">
        <v>4207</v>
      </c>
      <c r="AK466" s="44" t="s">
        <v>432</v>
      </c>
    </row>
    <row r="467" spans="1:37">
      <c r="A467" s="44" t="s">
        <v>4208</v>
      </c>
      <c r="B467" s="44" t="s">
        <v>1058</v>
      </c>
      <c r="C467" s="44" t="s">
        <v>1058</v>
      </c>
      <c r="D467" s="44" t="s">
        <v>4209</v>
      </c>
      <c r="E467" s="44" t="s">
        <v>1491</v>
      </c>
      <c r="F467" s="44" t="s">
        <v>1429</v>
      </c>
      <c r="G467" s="44" t="s">
        <v>1430</v>
      </c>
      <c r="H467" s="44" t="s">
        <v>1431</v>
      </c>
      <c r="I467" s="45">
        <v>44279.563976701385</v>
      </c>
      <c r="J467" s="44" t="s">
        <v>2189</v>
      </c>
      <c r="K467" s="44" t="s">
        <v>4210</v>
      </c>
      <c r="M467" s="44" t="s">
        <v>1059</v>
      </c>
      <c r="N467" s="46">
        <f>VLOOKUP(M467,'Spend Export'!$B:$E,4,FALSE)</f>
        <v>921</v>
      </c>
      <c r="P467" s="44" t="s">
        <v>4211</v>
      </c>
      <c r="Q467" s="44" t="s">
        <v>1429</v>
      </c>
      <c r="R467" s="44" t="s">
        <v>20</v>
      </c>
      <c r="S467" s="44" t="s">
        <v>19</v>
      </c>
      <c r="T467" s="44" t="s">
        <v>1964</v>
      </c>
      <c r="U467" s="44" t="s">
        <v>1964</v>
      </c>
      <c r="V467" s="44" t="s">
        <v>4212</v>
      </c>
      <c r="W467" s="44" t="s">
        <v>4213</v>
      </c>
      <c r="X467" s="44" t="s">
        <v>1461</v>
      </c>
      <c r="Y467" s="44" t="s">
        <v>1429</v>
      </c>
      <c r="Z467" s="44" t="s">
        <v>1386</v>
      </c>
      <c r="AI467" s="44" t="s">
        <v>4214</v>
      </c>
      <c r="AK467" s="44" t="s">
        <v>1059</v>
      </c>
    </row>
    <row r="468" spans="1:37">
      <c r="B468" s="44" t="s">
        <v>1168</v>
      </c>
      <c r="C468" s="44" t="s">
        <v>1168</v>
      </c>
      <c r="D468" s="44" t="s">
        <v>4215</v>
      </c>
      <c r="E468" s="44" t="s">
        <v>1207</v>
      </c>
      <c r="F468" s="44" t="s">
        <v>1429</v>
      </c>
      <c r="G468" s="44" t="s">
        <v>1430</v>
      </c>
      <c r="I468" s="45">
        <v>45063.644772881948</v>
      </c>
      <c r="J468" s="44" t="s">
        <v>4216</v>
      </c>
      <c r="K468" s="44" t="s">
        <v>4217</v>
      </c>
      <c r="M468" s="44" t="s">
        <v>1169</v>
      </c>
      <c r="N468" s="46">
        <f>VLOOKUP(M468,'Spend Export'!$B:$E,4,FALSE)</f>
        <v>857.24</v>
      </c>
      <c r="P468" s="44" t="s">
        <v>4218</v>
      </c>
      <c r="Q468" s="44" t="s">
        <v>1429</v>
      </c>
      <c r="R468" s="44" t="s">
        <v>20</v>
      </c>
      <c r="S468" s="44" t="s">
        <v>19</v>
      </c>
      <c r="T468" s="44" t="s">
        <v>1502</v>
      </c>
      <c r="U468" s="44" t="s">
        <v>1502</v>
      </c>
      <c r="V468" s="44" t="s">
        <v>4219</v>
      </c>
      <c r="W468" s="44" t="s">
        <v>4220</v>
      </c>
      <c r="X468" s="44" t="s">
        <v>1450</v>
      </c>
      <c r="Y468" s="44" t="s">
        <v>1429</v>
      </c>
      <c r="Z468" s="44" t="s">
        <v>1429</v>
      </c>
      <c r="AI468" s="44" t="s">
        <v>4221</v>
      </c>
      <c r="AK468" s="44" t="s">
        <v>4222</v>
      </c>
    </row>
    <row r="469" spans="1:37">
      <c r="B469" s="44" t="s">
        <v>974</v>
      </c>
      <c r="C469" s="44" t="s">
        <v>4223</v>
      </c>
      <c r="D469" s="44" t="s">
        <v>4224</v>
      </c>
      <c r="E469" s="44" t="s">
        <v>1207</v>
      </c>
      <c r="F469" s="44" t="s">
        <v>1429</v>
      </c>
      <c r="G469" s="44" t="s">
        <v>1430</v>
      </c>
      <c r="I469" s="45">
        <v>44327.538354548611</v>
      </c>
      <c r="J469" s="44" t="s">
        <v>2472</v>
      </c>
      <c r="K469" s="44" t="s">
        <v>4225</v>
      </c>
      <c r="M469" s="44" t="s">
        <v>975</v>
      </c>
      <c r="N469" s="46">
        <f>VLOOKUP(M469,'Spend Export'!$B:$E,4,FALSE)</f>
        <v>775</v>
      </c>
      <c r="P469" s="44" t="s">
        <v>4226</v>
      </c>
      <c r="Q469" s="44" t="s">
        <v>1429</v>
      </c>
      <c r="R469" s="44" t="s">
        <v>20</v>
      </c>
      <c r="S469" s="44" t="s">
        <v>20</v>
      </c>
      <c r="T469" s="44" t="s">
        <v>1708</v>
      </c>
      <c r="U469" s="44" t="s">
        <v>1708</v>
      </c>
      <c r="V469" s="44" t="s">
        <v>4227</v>
      </c>
      <c r="W469" s="44" t="s">
        <v>4228</v>
      </c>
      <c r="X469" s="44" t="s">
        <v>1461</v>
      </c>
      <c r="Y469" s="44" t="s">
        <v>1429</v>
      </c>
      <c r="Z469" s="44" t="s">
        <v>1386</v>
      </c>
      <c r="AB469" s="44" t="s">
        <v>4229</v>
      </c>
      <c r="AI469" s="44" t="s">
        <v>4230</v>
      </c>
      <c r="AK469" s="44" t="s">
        <v>975</v>
      </c>
    </row>
    <row r="470" spans="1:37">
      <c r="B470" s="44" t="s">
        <v>1180</v>
      </c>
      <c r="C470" s="44" t="s">
        <v>1180</v>
      </c>
      <c r="D470" s="44" t="s">
        <v>1428</v>
      </c>
      <c r="E470" s="44" t="s">
        <v>1207</v>
      </c>
      <c r="F470" s="44" t="s">
        <v>1429</v>
      </c>
      <c r="G470" s="44" t="s">
        <v>1430</v>
      </c>
      <c r="I470" s="45">
        <v>39049.442716550926</v>
      </c>
      <c r="K470" s="44" t="s">
        <v>4231</v>
      </c>
      <c r="M470" s="44" t="s">
        <v>1181</v>
      </c>
      <c r="N470" s="46">
        <f>VLOOKUP(M470,'Spend Export'!$B:$E,4,FALSE)</f>
        <v>712.5</v>
      </c>
      <c r="O470" s="44" t="s">
        <v>1429</v>
      </c>
      <c r="P470" s="44" t="s">
        <v>4232</v>
      </c>
      <c r="Q470" s="44" t="s">
        <v>1429</v>
      </c>
      <c r="R470" s="44" t="s">
        <v>20</v>
      </c>
      <c r="S470" s="44" t="s">
        <v>19</v>
      </c>
      <c r="T470" s="44" t="s">
        <v>2585</v>
      </c>
      <c r="U470" s="44" t="s">
        <v>1484</v>
      </c>
      <c r="V470" s="44" t="s">
        <v>4233</v>
      </c>
      <c r="W470" s="44" t="s">
        <v>4234</v>
      </c>
      <c r="X470" s="44" t="s">
        <v>1450</v>
      </c>
      <c r="Y470" s="44" t="s">
        <v>1429</v>
      </c>
      <c r="Z470" s="44" t="s">
        <v>1429</v>
      </c>
      <c r="AG470" s="44" t="s">
        <v>1642</v>
      </c>
      <c r="AI470" s="44" t="s">
        <v>4235</v>
      </c>
      <c r="AK470" s="44" t="s">
        <v>1181</v>
      </c>
    </row>
    <row r="471" spans="1:37">
      <c r="B471" s="44" t="s">
        <v>849</v>
      </c>
      <c r="C471" s="44" t="s">
        <v>849</v>
      </c>
      <c r="D471" s="44" t="s">
        <v>4236</v>
      </c>
      <c r="E471" s="44" t="s">
        <v>1682</v>
      </c>
      <c r="F471" s="44" t="s">
        <v>1429</v>
      </c>
      <c r="G471" s="44" t="s">
        <v>1430</v>
      </c>
      <c r="I471" s="45">
        <v>45189.606966932872</v>
      </c>
      <c r="J471" s="44" t="s">
        <v>4237</v>
      </c>
      <c r="K471" s="44" t="s">
        <v>4238</v>
      </c>
      <c r="M471" s="44" t="s">
        <v>850</v>
      </c>
      <c r="N471" s="46">
        <f>VLOOKUP(M471,'Spend Export'!$B:$E,4,FALSE)</f>
        <v>598</v>
      </c>
      <c r="O471" s="44" t="s">
        <v>1429</v>
      </c>
      <c r="P471" s="44" t="s">
        <v>4239</v>
      </c>
      <c r="Q471" s="44" t="s">
        <v>1429</v>
      </c>
      <c r="R471" s="44" t="s">
        <v>20</v>
      </c>
      <c r="S471" s="44" t="s">
        <v>19</v>
      </c>
      <c r="T471" s="44" t="s">
        <v>1484</v>
      </c>
      <c r="U471" s="44" t="s">
        <v>1484</v>
      </c>
      <c r="V471" s="44" t="s">
        <v>4240</v>
      </c>
      <c r="W471" s="44" t="s">
        <v>4241</v>
      </c>
      <c r="X471" s="44" t="s">
        <v>1450</v>
      </c>
      <c r="Y471" s="44" t="s">
        <v>1429</v>
      </c>
      <c r="Z471" s="44" t="s">
        <v>1429</v>
      </c>
      <c r="AI471" s="44" t="s">
        <v>4242</v>
      </c>
      <c r="AK471" s="44" t="s">
        <v>850</v>
      </c>
    </row>
    <row r="472" spans="1:37">
      <c r="B472" s="44" t="s">
        <v>944</v>
      </c>
      <c r="C472" s="44" t="s">
        <v>944</v>
      </c>
      <c r="D472" s="44" t="s">
        <v>1651</v>
      </c>
      <c r="E472" s="44" t="s">
        <v>1652</v>
      </c>
      <c r="F472" s="44" t="s">
        <v>1429</v>
      </c>
      <c r="G472" s="44" t="s">
        <v>1430</v>
      </c>
      <c r="I472" s="45">
        <v>38917.433058483795</v>
      </c>
      <c r="J472" s="44" t="s">
        <v>2226</v>
      </c>
      <c r="K472" s="44" t="s">
        <v>4243</v>
      </c>
      <c r="M472" s="44" t="s">
        <v>945</v>
      </c>
      <c r="N472" s="46">
        <f>VLOOKUP(M472,'Spend Export'!$B:$E,4,FALSE)</f>
        <v>590.82000000000005</v>
      </c>
      <c r="O472" s="44" t="s">
        <v>1429</v>
      </c>
      <c r="P472" s="44" t="s">
        <v>4244</v>
      </c>
      <c r="Q472" s="44" t="s">
        <v>1429</v>
      </c>
      <c r="R472" s="44" t="s">
        <v>20</v>
      </c>
      <c r="S472" s="44" t="s">
        <v>19</v>
      </c>
      <c r="T472" s="44" t="s">
        <v>1484</v>
      </c>
      <c r="U472" s="44" t="s">
        <v>1484</v>
      </c>
      <c r="V472" s="44" t="s">
        <v>4245</v>
      </c>
      <c r="W472" s="44" t="s">
        <v>4246</v>
      </c>
      <c r="X472" s="44" t="s">
        <v>2775</v>
      </c>
      <c r="Y472" s="44" t="s">
        <v>1429</v>
      </c>
      <c r="Z472" s="44" t="s">
        <v>1429</v>
      </c>
      <c r="AG472" s="44" t="s">
        <v>2226</v>
      </c>
      <c r="AI472" s="44" t="s">
        <v>4247</v>
      </c>
      <c r="AK472" s="44" t="s">
        <v>945</v>
      </c>
    </row>
    <row r="473" spans="1:37">
      <c r="B473" s="44" t="s">
        <v>1017</v>
      </c>
      <c r="C473" s="44" t="s">
        <v>1017</v>
      </c>
      <c r="D473" s="44" t="s">
        <v>4248</v>
      </c>
      <c r="E473" s="44" t="s">
        <v>4117</v>
      </c>
      <c r="F473" s="44" t="s">
        <v>1429</v>
      </c>
      <c r="G473" s="44" t="s">
        <v>1430</v>
      </c>
      <c r="I473" s="45">
        <v>44660.36679644676</v>
      </c>
      <c r="J473" s="44" t="s">
        <v>1756</v>
      </c>
      <c r="K473" s="44" t="s">
        <v>4249</v>
      </c>
      <c r="M473" s="44" t="s">
        <v>1018</v>
      </c>
      <c r="N473" s="46" t="e">
        <f>VLOOKUP(M473,'Spend Export'!$B:$E,4,FALSE)</f>
        <v>#N/A</v>
      </c>
      <c r="O473" s="44" t="s">
        <v>1429</v>
      </c>
      <c r="Q473" s="44" t="s">
        <v>1429</v>
      </c>
      <c r="R473" s="44" t="s">
        <v>20</v>
      </c>
      <c r="S473" s="44" t="s">
        <v>19</v>
      </c>
      <c r="T473" s="44" t="s">
        <v>1458</v>
      </c>
      <c r="U473" s="44" t="s">
        <v>1458</v>
      </c>
      <c r="V473" s="44" t="s">
        <v>2094</v>
      </c>
      <c r="W473" s="44" t="s">
        <v>4250</v>
      </c>
      <c r="X473" s="44" t="s">
        <v>1450</v>
      </c>
      <c r="Y473" s="44" t="s">
        <v>1429</v>
      </c>
      <c r="Z473" s="44" t="s">
        <v>1429</v>
      </c>
      <c r="AA473" s="44" t="s">
        <v>1761</v>
      </c>
      <c r="AI473" s="44" t="s">
        <v>4017</v>
      </c>
      <c r="AK473" s="44" t="s">
        <v>1018</v>
      </c>
    </row>
    <row r="474" spans="1:37">
      <c r="B474" s="44" t="s">
        <v>730</v>
      </c>
      <c r="C474" s="44" t="s">
        <v>730</v>
      </c>
      <c r="D474" s="44" t="s">
        <v>4251</v>
      </c>
      <c r="E474" s="44" t="s">
        <v>1207</v>
      </c>
      <c r="F474" s="44" t="s">
        <v>4252</v>
      </c>
      <c r="G474" s="44" t="s">
        <v>1430</v>
      </c>
      <c r="I474" s="45">
        <v>40366.421851388892</v>
      </c>
      <c r="K474" s="44" t="s">
        <v>4253</v>
      </c>
      <c r="M474" s="44" t="s">
        <v>731</v>
      </c>
      <c r="N474" s="46">
        <f>VLOOKUP(M474,'Spend Export'!$B:$E,4,FALSE)</f>
        <v>525</v>
      </c>
      <c r="P474" s="44" t="s">
        <v>4254</v>
      </c>
      <c r="Q474" s="44" t="s">
        <v>1429</v>
      </c>
      <c r="R474" s="44" t="s">
        <v>20</v>
      </c>
      <c r="S474" s="44" t="s">
        <v>19</v>
      </c>
      <c r="T474" s="44" t="s">
        <v>1502</v>
      </c>
      <c r="U474" s="44" t="s">
        <v>1502</v>
      </c>
      <c r="X474" s="44" t="s">
        <v>1439</v>
      </c>
      <c r="Y474" s="44" t="s">
        <v>1429</v>
      </c>
      <c r="Z474" s="44" t="s">
        <v>1429</v>
      </c>
      <c r="AI474" s="44" t="s">
        <v>4255</v>
      </c>
      <c r="AK474" s="44" t="s">
        <v>731</v>
      </c>
    </row>
    <row r="475" spans="1:37">
      <c r="B475" s="44" t="s">
        <v>838</v>
      </c>
      <c r="C475" s="44" t="s">
        <v>838</v>
      </c>
      <c r="D475" s="44" t="s">
        <v>1428</v>
      </c>
      <c r="E475" s="44" t="s">
        <v>1207</v>
      </c>
      <c r="F475" s="44" t="s">
        <v>4256</v>
      </c>
      <c r="G475" s="44" t="s">
        <v>1430</v>
      </c>
      <c r="I475" s="45">
        <v>40512.388115393522</v>
      </c>
      <c r="J475" s="44" t="s">
        <v>1981</v>
      </c>
      <c r="K475" s="44" t="s">
        <v>4257</v>
      </c>
      <c r="M475" s="44" t="s">
        <v>839</v>
      </c>
      <c r="N475" s="46">
        <f>VLOOKUP(M475,'Spend Export'!$B:$E,4,FALSE)</f>
        <v>522.6</v>
      </c>
      <c r="P475" s="44" t="s">
        <v>4258</v>
      </c>
      <c r="Q475" s="44" t="s">
        <v>1429</v>
      </c>
      <c r="R475" s="44" t="s">
        <v>20</v>
      </c>
      <c r="S475" s="44" t="s">
        <v>19</v>
      </c>
      <c r="T475" s="44" t="s">
        <v>4259</v>
      </c>
      <c r="U475" s="44" t="s">
        <v>1708</v>
      </c>
      <c r="V475" s="44" t="s">
        <v>4260</v>
      </c>
      <c r="W475" s="44" t="s">
        <v>4261</v>
      </c>
      <c r="X475" s="44" t="s">
        <v>1461</v>
      </c>
      <c r="Y475" s="44" t="s">
        <v>1429</v>
      </c>
      <c r="Z475" s="44" t="s">
        <v>1386</v>
      </c>
      <c r="AI475" s="44" t="s">
        <v>4262</v>
      </c>
      <c r="AK475" s="44" t="s">
        <v>839</v>
      </c>
    </row>
    <row r="476" spans="1:37">
      <c r="B476" s="44" t="s">
        <v>964</v>
      </c>
      <c r="C476" s="44" t="s">
        <v>964</v>
      </c>
      <c r="D476" s="44" t="s">
        <v>4263</v>
      </c>
      <c r="E476" s="44" t="s">
        <v>2102</v>
      </c>
      <c r="F476" s="44" t="s">
        <v>1429</v>
      </c>
      <c r="G476" s="44" t="s">
        <v>1430</v>
      </c>
      <c r="I476" s="45">
        <v>44860.470488576386</v>
      </c>
      <c r="J476" s="44" t="s">
        <v>4264</v>
      </c>
      <c r="K476" s="44" t="s">
        <v>4265</v>
      </c>
      <c r="M476" s="44" t="s">
        <v>965</v>
      </c>
      <c r="N476" s="46">
        <f>VLOOKUP(M476,'Spend Export'!$B:$E,4,FALSE)</f>
        <v>500</v>
      </c>
      <c r="O476" s="44" t="s">
        <v>1429</v>
      </c>
      <c r="P476" s="44" t="s">
        <v>4266</v>
      </c>
      <c r="Q476" s="44" t="s">
        <v>1429</v>
      </c>
      <c r="R476" s="44" t="s">
        <v>20</v>
      </c>
      <c r="S476" s="44" t="s">
        <v>19</v>
      </c>
      <c r="T476" s="44" t="s">
        <v>1484</v>
      </c>
      <c r="U476" s="44" t="s">
        <v>1484</v>
      </c>
      <c r="V476" s="44" t="s">
        <v>4267</v>
      </c>
      <c r="W476" s="44" t="s">
        <v>4268</v>
      </c>
      <c r="X476" s="44" t="s">
        <v>1461</v>
      </c>
      <c r="Y476" s="44" t="s">
        <v>1386</v>
      </c>
      <c r="Z476" s="44" t="s">
        <v>1429</v>
      </c>
      <c r="AI476" s="44" t="s">
        <v>4269</v>
      </c>
      <c r="AK476" s="44" t="s">
        <v>965</v>
      </c>
    </row>
    <row r="477" spans="1:37">
      <c r="B477" s="44" t="s">
        <v>368</v>
      </c>
      <c r="C477" s="44" t="s">
        <v>368</v>
      </c>
      <c r="D477" s="44" t="s">
        <v>1769</v>
      </c>
      <c r="E477" s="44" t="s">
        <v>1207</v>
      </c>
      <c r="F477" s="44" t="s">
        <v>4270</v>
      </c>
      <c r="G477" s="44" t="s">
        <v>1430</v>
      </c>
      <c r="I477" s="45">
        <v>37928.599071990742</v>
      </c>
      <c r="K477" s="44" t="s">
        <v>4271</v>
      </c>
      <c r="M477" s="44" t="s">
        <v>369</v>
      </c>
      <c r="N477" s="46">
        <f>VLOOKUP(M477,'Spend Export'!$B:$E,4,FALSE)</f>
        <v>488.33000000000004</v>
      </c>
      <c r="P477" s="44" t="s">
        <v>4272</v>
      </c>
      <c r="Q477" s="44" t="s">
        <v>1429</v>
      </c>
      <c r="R477" s="44" t="s">
        <v>20</v>
      </c>
      <c r="S477" s="44" t="s">
        <v>19</v>
      </c>
      <c r="T477" s="44" t="s">
        <v>1556</v>
      </c>
      <c r="U477" s="44" t="s">
        <v>1556</v>
      </c>
      <c r="X477" s="44" t="s">
        <v>2283</v>
      </c>
      <c r="Y477" s="44" t="s">
        <v>1429</v>
      </c>
      <c r="Z477" s="44" t="s">
        <v>1429</v>
      </c>
      <c r="AI477" s="44" t="s">
        <v>4273</v>
      </c>
      <c r="AK477" s="44" t="s">
        <v>369</v>
      </c>
    </row>
    <row r="478" spans="1:37">
      <c r="B478" s="44" t="s">
        <v>1009</v>
      </c>
      <c r="C478" s="44" t="s">
        <v>1009</v>
      </c>
      <c r="D478" s="44" t="s">
        <v>4274</v>
      </c>
      <c r="E478" s="44" t="s">
        <v>1207</v>
      </c>
      <c r="F478" s="44" t="s">
        <v>1429</v>
      </c>
      <c r="G478" s="44" t="s">
        <v>1430</v>
      </c>
      <c r="I478" s="45">
        <v>44914.395529317131</v>
      </c>
      <c r="J478" s="44" t="s">
        <v>3911</v>
      </c>
      <c r="K478" s="44" t="s">
        <v>4275</v>
      </c>
      <c r="M478" s="44" t="s">
        <v>1010</v>
      </c>
      <c r="N478" s="46">
        <f>VLOOKUP(M478,'Spend Export'!$B:$E,4,FALSE)</f>
        <v>485</v>
      </c>
      <c r="O478" s="44" t="s">
        <v>1429</v>
      </c>
      <c r="P478" s="44" t="s">
        <v>4276</v>
      </c>
      <c r="Q478" s="44" t="s">
        <v>1429</v>
      </c>
      <c r="R478" s="44" t="s">
        <v>20</v>
      </c>
      <c r="S478" s="44" t="s">
        <v>19</v>
      </c>
      <c r="T478" s="44" t="s">
        <v>1964</v>
      </c>
      <c r="U478" s="44" t="s">
        <v>1964</v>
      </c>
      <c r="V478" s="44" t="s">
        <v>4277</v>
      </c>
      <c r="W478" s="44" t="s">
        <v>4278</v>
      </c>
      <c r="X478" s="44" t="s">
        <v>1450</v>
      </c>
      <c r="Y478" s="44" t="s">
        <v>1386</v>
      </c>
      <c r="Z478" s="44" t="s">
        <v>1386</v>
      </c>
      <c r="AI478" s="44" t="s">
        <v>4279</v>
      </c>
      <c r="AK478" s="44" t="s">
        <v>1010</v>
      </c>
    </row>
    <row r="479" spans="1:37">
      <c r="B479" s="44" t="s">
        <v>627</v>
      </c>
      <c r="C479" s="44" t="s">
        <v>627</v>
      </c>
      <c r="D479" s="44" t="s">
        <v>4280</v>
      </c>
      <c r="E479" s="44" t="s">
        <v>1207</v>
      </c>
      <c r="F479" s="44" t="s">
        <v>4281</v>
      </c>
      <c r="G479" s="44" t="s">
        <v>1430</v>
      </c>
      <c r="I479" s="45">
        <v>40414.597402627318</v>
      </c>
      <c r="K479" s="44" t="s">
        <v>4282</v>
      </c>
      <c r="M479" s="44" t="s">
        <v>628</v>
      </c>
      <c r="N479" s="46">
        <f>VLOOKUP(M479,'Spend Export'!$B:$E,4,FALSE)</f>
        <v>450</v>
      </c>
      <c r="O479" s="44" t="s">
        <v>1429</v>
      </c>
      <c r="P479" s="44" t="s">
        <v>4283</v>
      </c>
      <c r="Q479" s="44" t="s">
        <v>1429</v>
      </c>
      <c r="R479" s="44" t="s">
        <v>20</v>
      </c>
      <c r="S479" s="44" t="s">
        <v>19</v>
      </c>
      <c r="T479" s="44" t="s">
        <v>1502</v>
      </c>
      <c r="U479" s="44" t="s">
        <v>1502</v>
      </c>
      <c r="X479" s="44" t="s">
        <v>1450</v>
      </c>
      <c r="Y479" s="44" t="s">
        <v>1429</v>
      </c>
      <c r="Z479" s="44" t="s">
        <v>1429</v>
      </c>
      <c r="AI479" s="44" t="s">
        <v>4284</v>
      </c>
      <c r="AK479" s="44" t="s">
        <v>628</v>
      </c>
    </row>
    <row r="480" spans="1:37">
      <c r="B480" s="44" t="s">
        <v>1156</v>
      </c>
      <c r="C480" s="44" t="s">
        <v>1156</v>
      </c>
      <c r="D480" s="44" t="s">
        <v>3254</v>
      </c>
      <c r="E480" s="44" t="s">
        <v>1572</v>
      </c>
      <c r="F480" s="44" t="s">
        <v>1429</v>
      </c>
      <c r="G480" s="44" t="s">
        <v>1430</v>
      </c>
      <c r="I480" s="45">
        <v>43880.601584374999</v>
      </c>
      <c r="J480" s="44" t="s">
        <v>1785</v>
      </c>
      <c r="K480" s="44" t="s">
        <v>4285</v>
      </c>
      <c r="M480" s="44" t="s">
        <v>1157</v>
      </c>
      <c r="N480" s="46">
        <f>VLOOKUP(M480,'Spend Export'!$B:$E,4,FALSE)</f>
        <v>413.64</v>
      </c>
      <c r="P480" s="44" t="s">
        <v>1429</v>
      </c>
      <c r="Q480" s="44" t="s">
        <v>1429</v>
      </c>
      <c r="R480" s="44" t="s">
        <v>20</v>
      </c>
      <c r="S480" s="44" t="s">
        <v>19</v>
      </c>
      <c r="T480" s="44" t="s">
        <v>1484</v>
      </c>
      <c r="U480" s="44" t="s">
        <v>1484</v>
      </c>
      <c r="V480" s="44" t="s">
        <v>4286</v>
      </c>
      <c r="W480" s="44" t="s">
        <v>4287</v>
      </c>
      <c r="X480" s="44" t="s">
        <v>1450</v>
      </c>
      <c r="Y480" s="44" t="s">
        <v>1386</v>
      </c>
      <c r="Z480" s="44" t="s">
        <v>1429</v>
      </c>
      <c r="AA480" s="44" t="s">
        <v>2319</v>
      </c>
      <c r="AG480" s="44" t="s">
        <v>1785</v>
      </c>
      <c r="AI480" s="44" t="s">
        <v>4288</v>
      </c>
      <c r="AK480" s="44" t="s">
        <v>1157</v>
      </c>
    </row>
    <row r="481" spans="2:37">
      <c r="B481" s="44" t="s">
        <v>1108</v>
      </c>
      <c r="C481" s="44" t="s">
        <v>1108</v>
      </c>
      <c r="D481" s="44" t="s">
        <v>1428</v>
      </c>
      <c r="E481" s="44" t="s">
        <v>1207</v>
      </c>
      <c r="F481" s="44" t="s">
        <v>1429</v>
      </c>
      <c r="G481" s="44" t="s">
        <v>1430</v>
      </c>
      <c r="I481" s="45">
        <v>40973.432453009256</v>
      </c>
      <c r="K481" s="44" t="s">
        <v>4289</v>
      </c>
      <c r="M481" s="44" t="s">
        <v>1109</v>
      </c>
      <c r="N481" s="46">
        <f>VLOOKUP(M481,'Spend Export'!$B:$E,4,FALSE)</f>
        <v>397</v>
      </c>
      <c r="P481" s="44" t="s">
        <v>4290</v>
      </c>
      <c r="Q481" s="44" t="s">
        <v>1429</v>
      </c>
      <c r="R481" s="44" t="s">
        <v>20</v>
      </c>
      <c r="S481" s="44" t="s">
        <v>19</v>
      </c>
      <c r="T481" s="44" t="s">
        <v>1502</v>
      </c>
      <c r="U481" s="44" t="s">
        <v>1502</v>
      </c>
      <c r="X481" s="44" t="s">
        <v>1439</v>
      </c>
      <c r="Y481" s="44" t="s">
        <v>1429</v>
      </c>
      <c r="Z481" s="44" t="s">
        <v>1429</v>
      </c>
      <c r="AK481" s="44" t="s">
        <v>1109</v>
      </c>
    </row>
    <row r="482" spans="2:37">
      <c r="B482" s="44" t="s">
        <v>992</v>
      </c>
      <c r="C482" s="44" t="s">
        <v>992</v>
      </c>
      <c r="D482" s="44" t="s">
        <v>4291</v>
      </c>
      <c r="E482" s="44" t="s">
        <v>4117</v>
      </c>
      <c r="F482" s="44" t="s">
        <v>1429</v>
      </c>
      <c r="G482" s="44" t="s">
        <v>1430</v>
      </c>
      <c r="I482" s="45">
        <v>38048.706255243058</v>
      </c>
      <c r="K482" s="44" t="s">
        <v>4292</v>
      </c>
      <c r="M482" s="44" t="s">
        <v>993</v>
      </c>
      <c r="N482" s="46">
        <f>VLOOKUP(M482,'Spend Export'!$B:$E,4,FALSE)</f>
        <v>389.09000000000003</v>
      </c>
      <c r="P482" s="44" t="s">
        <v>1429</v>
      </c>
      <c r="Q482" s="44" t="s">
        <v>1429</v>
      </c>
      <c r="R482" s="44" t="s">
        <v>20</v>
      </c>
      <c r="S482" s="44" t="s">
        <v>19</v>
      </c>
      <c r="T482" s="44" t="s">
        <v>1964</v>
      </c>
      <c r="U482" s="44" t="s">
        <v>1964</v>
      </c>
      <c r="X482" s="44" t="s">
        <v>1439</v>
      </c>
      <c r="Y482" s="44" t="s">
        <v>1429</v>
      </c>
      <c r="Z482" s="44" t="s">
        <v>1429</v>
      </c>
      <c r="AK482" s="44" t="s">
        <v>993</v>
      </c>
    </row>
    <row r="483" spans="2:37">
      <c r="B483" s="44" t="s">
        <v>906</v>
      </c>
      <c r="C483" s="44" t="s">
        <v>906</v>
      </c>
      <c r="D483" s="44" t="s">
        <v>2878</v>
      </c>
      <c r="E483" s="44" t="s">
        <v>1207</v>
      </c>
      <c r="F483" s="44" t="s">
        <v>4293</v>
      </c>
      <c r="G483" s="44" t="s">
        <v>1430</v>
      </c>
      <c r="I483" s="45">
        <v>43178.624041747687</v>
      </c>
      <c r="J483" s="44" t="s">
        <v>2652</v>
      </c>
      <c r="K483" s="44" t="s">
        <v>4294</v>
      </c>
      <c r="M483" s="44" t="s">
        <v>907</v>
      </c>
      <c r="N483" s="46">
        <f>VLOOKUP(M483,'Spend Export'!$B:$E,4,FALSE)</f>
        <v>384</v>
      </c>
      <c r="O483" s="44" t="s">
        <v>1429</v>
      </c>
      <c r="P483" s="44" t="s">
        <v>4295</v>
      </c>
      <c r="Q483" s="44" t="s">
        <v>1429</v>
      </c>
      <c r="R483" s="44" t="s">
        <v>20</v>
      </c>
      <c r="S483" s="44" t="s">
        <v>19</v>
      </c>
      <c r="T483" s="44" t="s">
        <v>1708</v>
      </c>
      <c r="U483" s="44" t="s">
        <v>1708</v>
      </c>
      <c r="V483" s="44" t="s">
        <v>4296</v>
      </c>
      <c r="W483" s="44" t="s">
        <v>4297</v>
      </c>
      <c r="X483" s="44" t="s">
        <v>1450</v>
      </c>
      <c r="Y483" s="44" t="s">
        <v>1386</v>
      </c>
      <c r="Z483" s="44" t="s">
        <v>1386</v>
      </c>
      <c r="AI483" s="44" t="s">
        <v>4298</v>
      </c>
      <c r="AK483" s="44" t="s">
        <v>907</v>
      </c>
    </row>
    <row r="484" spans="2:37">
      <c r="B484" s="44" t="s">
        <v>418</v>
      </c>
      <c r="C484" s="44" t="s">
        <v>418</v>
      </c>
      <c r="D484" s="44" t="s">
        <v>1890</v>
      </c>
      <c r="E484" s="44" t="s">
        <v>1207</v>
      </c>
      <c r="F484" s="44" t="s">
        <v>4299</v>
      </c>
      <c r="G484" s="44" t="s">
        <v>1430</v>
      </c>
      <c r="I484" s="45">
        <v>40039.541171180557</v>
      </c>
      <c r="K484" s="44" t="s">
        <v>4300</v>
      </c>
      <c r="M484" s="44" t="s">
        <v>419</v>
      </c>
      <c r="N484" s="46">
        <f>VLOOKUP(M484,'Spend Export'!$B:$E,4,FALSE)</f>
        <v>361.69</v>
      </c>
      <c r="O484" s="44" t="s">
        <v>1429</v>
      </c>
      <c r="P484" s="44" t="s">
        <v>4301</v>
      </c>
      <c r="Q484" s="44" t="s">
        <v>1429</v>
      </c>
      <c r="R484" s="44" t="s">
        <v>20</v>
      </c>
      <c r="S484" s="44" t="s">
        <v>19</v>
      </c>
      <c r="T484" s="44" t="s">
        <v>1484</v>
      </c>
      <c r="U484" s="44" t="s">
        <v>1484</v>
      </c>
      <c r="V484" s="44" t="s">
        <v>4302</v>
      </c>
      <c r="W484" s="44" t="s">
        <v>4299</v>
      </c>
      <c r="X484" s="44" t="s">
        <v>2283</v>
      </c>
      <c r="Y484" s="44" t="s">
        <v>1429</v>
      </c>
      <c r="Z484" s="44" t="s">
        <v>1429</v>
      </c>
      <c r="AI484" s="44" t="s">
        <v>4303</v>
      </c>
      <c r="AK484" s="44" t="s">
        <v>419</v>
      </c>
    </row>
    <row r="485" spans="2:37">
      <c r="B485" s="44" t="s">
        <v>924</v>
      </c>
      <c r="C485" s="44" t="s">
        <v>924</v>
      </c>
      <c r="D485" s="44" t="s">
        <v>2101</v>
      </c>
      <c r="E485" s="44" t="s">
        <v>2102</v>
      </c>
      <c r="F485" s="44" t="s">
        <v>1429</v>
      </c>
      <c r="G485" s="44" t="s">
        <v>1430</v>
      </c>
      <c r="I485" s="45">
        <v>44125.525496793984</v>
      </c>
      <c r="J485" s="44" t="s">
        <v>1492</v>
      </c>
      <c r="K485" s="44" t="s">
        <v>4304</v>
      </c>
      <c r="M485" s="44" t="s">
        <v>925</v>
      </c>
      <c r="N485" s="46" t="e">
        <f>VLOOKUP(M485,'Spend Export'!$B:$E,4,FALSE)</f>
        <v>#N/A</v>
      </c>
      <c r="P485" s="44" t="s">
        <v>4305</v>
      </c>
      <c r="Q485" s="44" t="s">
        <v>1429</v>
      </c>
      <c r="R485" s="44" t="s">
        <v>20</v>
      </c>
      <c r="S485" s="44" t="s">
        <v>19</v>
      </c>
      <c r="T485" s="44" t="s">
        <v>1458</v>
      </c>
      <c r="U485" s="44" t="s">
        <v>1458</v>
      </c>
      <c r="V485" s="44" t="s">
        <v>4306</v>
      </c>
      <c r="W485" s="44" t="s">
        <v>4307</v>
      </c>
      <c r="X485" s="44" t="s">
        <v>1439</v>
      </c>
      <c r="Y485" s="44" t="s">
        <v>1386</v>
      </c>
      <c r="Z485" s="44" t="s">
        <v>1386</v>
      </c>
      <c r="AI485" s="44" t="s">
        <v>4308</v>
      </c>
      <c r="AK485" s="44" t="s">
        <v>925</v>
      </c>
    </row>
    <row r="486" spans="2:37">
      <c r="B486" s="44" t="s">
        <v>1174</v>
      </c>
      <c r="C486" s="44" t="s">
        <v>1174</v>
      </c>
      <c r="D486" s="44" t="s">
        <v>3458</v>
      </c>
      <c r="E486" s="44" t="s">
        <v>1207</v>
      </c>
      <c r="F486" s="44" t="s">
        <v>1429</v>
      </c>
      <c r="G486" s="44" t="s">
        <v>1430</v>
      </c>
      <c r="I486" s="45">
        <v>39388.617784606482</v>
      </c>
      <c r="J486" s="44" t="s">
        <v>4309</v>
      </c>
      <c r="K486" s="44" t="s">
        <v>4310</v>
      </c>
      <c r="M486" s="44" t="s">
        <v>1175</v>
      </c>
      <c r="N486" s="46">
        <f>VLOOKUP(M486,'Spend Export'!$B:$E,4,FALSE)</f>
        <v>344</v>
      </c>
      <c r="P486" s="44" t="s">
        <v>4311</v>
      </c>
      <c r="Q486" s="44" t="s">
        <v>1429</v>
      </c>
      <c r="R486" s="44" t="s">
        <v>20</v>
      </c>
      <c r="S486" s="44" t="s">
        <v>19</v>
      </c>
      <c r="T486" s="44" t="s">
        <v>1484</v>
      </c>
      <c r="U486" s="44" t="s">
        <v>1484</v>
      </c>
      <c r="V486" s="44" t="s">
        <v>4312</v>
      </c>
      <c r="W486" s="44" t="s">
        <v>4313</v>
      </c>
      <c r="X486" s="44" t="s">
        <v>1450</v>
      </c>
      <c r="Y486" s="44" t="s">
        <v>1429</v>
      </c>
      <c r="Z486" s="44" t="s">
        <v>1429</v>
      </c>
      <c r="AI486" s="44" t="s">
        <v>4314</v>
      </c>
      <c r="AK486" s="44" t="s">
        <v>4315</v>
      </c>
    </row>
    <row r="487" spans="2:37">
      <c r="B487" s="44" t="s">
        <v>998</v>
      </c>
      <c r="C487" s="44" t="s">
        <v>998</v>
      </c>
      <c r="D487" s="44" t="s">
        <v>4316</v>
      </c>
      <c r="E487" s="44" t="s">
        <v>1207</v>
      </c>
      <c r="F487" s="44" t="s">
        <v>1429</v>
      </c>
      <c r="G487" s="44" t="s">
        <v>1430</v>
      </c>
      <c r="I487" s="45">
        <v>38069.380148993056</v>
      </c>
      <c r="K487" s="44" t="s">
        <v>4317</v>
      </c>
      <c r="M487" s="44" t="s">
        <v>999</v>
      </c>
      <c r="N487" s="46">
        <f>VLOOKUP(M487,'Spend Export'!$B:$E,4,FALSE)</f>
        <v>305</v>
      </c>
      <c r="P487" s="44" t="s">
        <v>4318</v>
      </c>
      <c r="Q487" s="44" t="s">
        <v>1429</v>
      </c>
      <c r="R487" s="44" t="s">
        <v>19</v>
      </c>
      <c r="S487" s="44" t="s">
        <v>19</v>
      </c>
      <c r="T487" s="44" t="s">
        <v>1708</v>
      </c>
      <c r="U487" s="44" t="s">
        <v>1708</v>
      </c>
      <c r="V487" s="44" t="s">
        <v>4319</v>
      </c>
      <c r="W487" s="44" t="s">
        <v>4320</v>
      </c>
      <c r="X487" s="44" t="s">
        <v>1450</v>
      </c>
      <c r="Y487" s="44" t="s">
        <v>1386</v>
      </c>
      <c r="Z487" s="44" t="s">
        <v>1386</v>
      </c>
      <c r="AG487" s="44" t="s">
        <v>4321</v>
      </c>
      <c r="AI487" s="44" t="s">
        <v>4322</v>
      </c>
      <c r="AK487" s="44" t="s">
        <v>999</v>
      </c>
    </row>
    <row r="488" spans="2:37">
      <c r="B488" s="44" t="s">
        <v>768</v>
      </c>
      <c r="C488" s="44" t="s">
        <v>768</v>
      </c>
      <c r="D488" s="44" t="s">
        <v>4323</v>
      </c>
      <c r="E488" s="44" t="s">
        <v>1682</v>
      </c>
      <c r="F488" s="44" t="s">
        <v>1429</v>
      </c>
      <c r="G488" s="44" t="s">
        <v>1430</v>
      </c>
      <c r="I488" s="45">
        <v>45156.600042708335</v>
      </c>
      <c r="J488" s="44" t="s">
        <v>4324</v>
      </c>
      <c r="K488" s="44" t="s">
        <v>4325</v>
      </c>
      <c r="M488" s="44" t="s">
        <v>769</v>
      </c>
      <c r="N488" s="46">
        <f>VLOOKUP(M488,'Spend Export'!$B:$E,4,FALSE)</f>
        <v>300</v>
      </c>
      <c r="O488" s="44" t="s">
        <v>1429</v>
      </c>
      <c r="P488" s="44" t="s">
        <v>4326</v>
      </c>
      <c r="Q488" s="44" t="s">
        <v>1429</v>
      </c>
      <c r="R488" s="44" t="s">
        <v>20</v>
      </c>
      <c r="S488" s="44" t="s">
        <v>19</v>
      </c>
      <c r="T488" s="44" t="s">
        <v>1708</v>
      </c>
      <c r="U488" s="44" t="s">
        <v>1708</v>
      </c>
      <c r="V488" s="44" t="s">
        <v>4327</v>
      </c>
      <c r="W488" s="44" t="s">
        <v>4328</v>
      </c>
      <c r="X488" s="44" t="s">
        <v>1461</v>
      </c>
      <c r="Y488" s="44" t="s">
        <v>1386</v>
      </c>
      <c r="Z488" s="44" t="s">
        <v>1386</v>
      </c>
      <c r="AI488" s="44" t="s">
        <v>4329</v>
      </c>
      <c r="AK488" s="44" t="s">
        <v>769</v>
      </c>
    </row>
    <row r="489" spans="2:37">
      <c r="B489" s="44" t="s">
        <v>1142</v>
      </c>
      <c r="C489" s="44" t="s">
        <v>1142</v>
      </c>
      <c r="D489" s="44" t="s">
        <v>1769</v>
      </c>
      <c r="E489" s="44" t="s">
        <v>1207</v>
      </c>
      <c r="F489" s="44" t="s">
        <v>1429</v>
      </c>
      <c r="G489" s="44" t="s">
        <v>1430</v>
      </c>
      <c r="I489" s="45">
        <v>37918.858277893516</v>
      </c>
      <c r="K489" s="44" t="s">
        <v>4330</v>
      </c>
      <c r="M489" s="44" t="s">
        <v>1143</v>
      </c>
      <c r="N489" s="46">
        <f>VLOOKUP(M489,'Spend Export'!$B:$E,4,FALSE)</f>
        <v>300</v>
      </c>
      <c r="P489" s="44" t="s">
        <v>4331</v>
      </c>
      <c r="Q489" s="44" t="s">
        <v>1429</v>
      </c>
      <c r="R489" s="44" t="s">
        <v>20</v>
      </c>
      <c r="S489" s="44" t="s">
        <v>19</v>
      </c>
      <c r="T489" s="44" t="s">
        <v>1502</v>
      </c>
      <c r="U489" s="44" t="s">
        <v>1502</v>
      </c>
      <c r="X489" s="44" t="s">
        <v>1584</v>
      </c>
      <c r="Y489" s="44" t="s">
        <v>1429</v>
      </c>
      <c r="Z489" s="44" t="s">
        <v>1429</v>
      </c>
      <c r="AK489" s="44" t="s">
        <v>1143</v>
      </c>
    </row>
    <row r="490" spans="2:37">
      <c r="B490" s="44" t="s">
        <v>702</v>
      </c>
      <c r="C490" s="44" t="s">
        <v>702</v>
      </c>
      <c r="D490" s="44" t="s">
        <v>2201</v>
      </c>
      <c r="E490" s="44" t="s">
        <v>1207</v>
      </c>
      <c r="F490" s="44" t="s">
        <v>1429</v>
      </c>
      <c r="G490" s="44" t="s">
        <v>1430</v>
      </c>
      <c r="I490" s="45">
        <v>45103.982931018516</v>
      </c>
      <c r="J490" s="44" t="s">
        <v>4332</v>
      </c>
      <c r="K490" s="44" t="s">
        <v>4333</v>
      </c>
      <c r="M490" s="44" t="s">
        <v>703</v>
      </c>
      <c r="N490" s="46">
        <f>VLOOKUP(M490,'Spend Export'!$B:$E,4,FALSE)</f>
        <v>282.26</v>
      </c>
      <c r="O490" s="44" t="s">
        <v>1429</v>
      </c>
      <c r="P490" s="44" t="s">
        <v>4334</v>
      </c>
      <c r="Q490" s="44" t="s">
        <v>1429</v>
      </c>
      <c r="R490" s="44" t="s">
        <v>20</v>
      </c>
      <c r="S490" s="44" t="s">
        <v>19</v>
      </c>
      <c r="T490" s="44" t="s">
        <v>1484</v>
      </c>
      <c r="U490" s="44" t="s">
        <v>1484</v>
      </c>
      <c r="V490" s="44" t="s">
        <v>4335</v>
      </c>
      <c r="W490" s="44" t="s">
        <v>4336</v>
      </c>
      <c r="X490" s="44" t="s">
        <v>1450</v>
      </c>
      <c r="Y490" s="44" t="s">
        <v>1429</v>
      </c>
      <c r="Z490" s="44" t="s">
        <v>1429</v>
      </c>
      <c r="AI490" s="44" t="s">
        <v>4337</v>
      </c>
      <c r="AK490" s="44" t="s">
        <v>703</v>
      </c>
    </row>
    <row r="491" spans="2:37">
      <c r="B491" s="44" t="s">
        <v>938</v>
      </c>
      <c r="C491" s="44" t="s">
        <v>938</v>
      </c>
      <c r="D491" s="44" t="s">
        <v>2439</v>
      </c>
      <c r="E491" s="44" t="s">
        <v>1572</v>
      </c>
      <c r="F491" s="44" t="s">
        <v>1429</v>
      </c>
      <c r="G491" s="44" t="s">
        <v>1430</v>
      </c>
      <c r="I491" s="45">
        <v>41002.620380868058</v>
      </c>
      <c r="K491" s="44" t="s">
        <v>4338</v>
      </c>
      <c r="M491" s="44" t="s">
        <v>939</v>
      </c>
      <c r="N491" s="46">
        <f>VLOOKUP(M491,'Spend Export'!$B:$E,4,FALSE)</f>
        <v>273.57</v>
      </c>
      <c r="P491" s="44" t="s">
        <v>1429</v>
      </c>
      <c r="Q491" s="44" t="s">
        <v>1429</v>
      </c>
      <c r="R491" s="44" t="s">
        <v>20</v>
      </c>
      <c r="S491" s="44" t="s">
        <v>19</v>
      </c>
      <c r="T491" s="44" t="s">
        <v>1519</v>
      </c>
      <c r="U491" s="44" t="s">
        <v>1519</v>
      </c>
      <c r="V491" s="44" t="s">
        <v>4339</v>
      </c>
      <c r="W491" s="44" t="s">
        <v>4340</v>
      </c>
      <c r="X491" s="44" t="s">
        <v>1439</v>
      </c>
      <c r="Y491" s="44" t="s">
        <v>1429</v>
      </c>
      <c r="Z491" s="44" t="s">
        <v>1429</v>
      </c>
      <c r="AK491" s="44" t="s">
        <v>939</v>
      </c>
    </row>
    <row r="492" spans="2:37">
      <c r="B492" s="44" t="s">
        <v>1080</v>
      </c>
      <c r="C492" s="44" t="s">
        <v>1080</v>
      </c>
      <c r="D492" s="44" t="s">
        <v>1428</v>
      </c>
      <c r="E492" s="44" t="s">
        <v>1207</v>
      </c>
      <c r="F492" s="44" t="s">
        <v>1429</v>
      </c>
      <c r="G492" s="44" t="s">
        <v>1430</v>
      </c>
      <c r="I492" s="45">
        <v>37918.760676423612</v>
      </c>
      <c r="K492" s="44" t="s">
        <v>4341</v>
      </c>
      <c r="M492" s="44" t="s">
        <v>1081</v>
      </c>
      <c r="N492" s="46">
        <f>VLOOKUP(M492,'Spend Export'!$B:$E,4,FALSE)</f>
        <v>272.73</v>
      </c>
      <c r="P492" s="44" t="s">
        <v>4342</v>
      </c>
      <c r="Q492" s="44" t="s">
        <v>1429</v>
      </c>
      <c r="R492" s="44" t="s">
        <v>20</v>
      </c>
      <c r="S492" s="44" t="s">
        <v>20</v>
      </c>
      <c r="T492" s="44" t="s">
        <v>1502</v>
      </c>
      <c r="U492" s="44" t="s">
        <v>1502</v>
      </c>
      <c r="V492" s="44" t="s">
        <v>4343</v>
      </c>
      <c r="W492" s="44" t="s">
        <v>4344</v>
      </c>
      <c r="X492" s="44" t="s">
        <v>1450</v>
      </c>
      <c r="Y492" s="44" t="s">
        <v>1429</v>
      </c>
      <c r="Z492" s="44" t="s">
        <v>1429</v>
      </c>
      <c r="AI492" s="44" t="s">
        <v>4345</v>
      </c>
      <c r="AK492" s="44" t="s">
        <v>1081</v>
      </c>
    </row>
    <row r="493" spans="2:37">
      <c r="B493" s="44" t="s">
        <v>718</v>
      </c>
      <c r="C493" s="44" t="s">
        <v>718</v>
      </c>
      <c r="D493" s="44" t="s">
        <v>1428</v>
      </c>
      <c r="E493" s="44" t="s">
        <v>1207</v>
      </c>
      <c r="F493" s="44" t="s">
        <v>4346</v>
      </c>
      <c r="G493" s="44" t="s">
        <v>1430</v>
      </c>
      <c r="I493" s="45">
        <v>43818.566213622682</v>
      </c>
      <c r="J493" s="44" t="s">
        <v>4347</v>
      </c>
      <c r="K493" s="44" t="s">
        <v>4348</v>
      </c>
      <c r="M493" s="44" t="s">
        <v>719</v>
      </c>
      <c r="N493" s="46">
        <f>VLOOKUP(M493,'Spend Export'!$B:$E,4,FALSE)</f>
        <v>267</v>
      </c>
      <c r="P493" s="44" t="s">
        <v>4349</v>
      </c>
      <c r="Q493" s="44" t="s">
        <v>1429</v>
      </c>
      <c r="R493" s="44" t="s">
        <v>20</v>
      </c>
      <c r="S493" s="44" t="s">
        <v>19</v>
      </c>
      <c r="T493" s="44" t="s">
        <v>1964</v>
      </c>
      <c r="U493" s="44" t="s">
        <v>1964</v>
      </c>
      <c r="V493" s="44" t="s">
        <v>3319</v>
      </c>
      <c r="W493" s="44" t="s">
        <v>4350</v>
      </c>
      <c r="X493" s="44" t="s">
        <v>2451</v>
      </c>
      <c r="Y493" s="44" t="s">
        <v>1429</v>
      </c>
      <c r="Z493" s="44" t="s">
        <v>1386</v>
      </c>
      <c r="AI493" s="44" t="s">
        <v>4351</v>
      </c>
      <c r="AK493" s="44" t="s">
        <v>719</v>
      </c>
    </row>
    <row r="494" spans="2:37">
      <c r="B494" s="44" t="s">
        <v>1164</v>
      </c>
      <c r="C494" s="44" t="s">
        <v>1164</v>
      </c>
      <c r="D494" s="44" t="s">
        <v>1428</v>
      </c>
      <c r="E494" s="44" t="s">
        <v>1207</v>
      </c>
      <c r="F494" s="44" t="s">
        <v>1429</v>
      </c>
      <c r="G494" s="44" t="s">
        <v>1430</v>
      </c>
      <c r="I494" s="45">
        <v>45187.567001006944</v>
      </c>
      <c r="J494" s="44" t="s">
        <v>4352</v>
      </c>
      <c r="K494" s="44" t="s">
        <v>4353</v>
      </c>
      <c r="M494" s="44" t="s">
        <v>1165</v>
      </c>
      <c r="N494" s="46">
        <f>VLOOKUP(M494,'Spend Export'!$B:$E,4,FALSE)</f>
        <v>265</v>
      </c>
      <c r="O494" s="44" t="s">
        <v>1429</v>
      </c>
      <c r="P494" s="44" t="s">
        <v>4354</v>
      </c>
      <c r="Q494" s="44" t="s">
        <v>1429</v>
      </c>
      <c r="R494" s="44" t="s">
        <v>20</v>
      </c>
      <c r="S494" s="44" t="s">
        <v>20</v>
      </c>
      <c r="T494" s="44" t="s">
        <v>1502</v>
      </c>
      <c r="U494" s="44" t="s">
        <v>1502</v>
      </c>
      <c r="V494" s="44" t="s">
        <v>4355</v>
      </c>
      <c r="W494" s="44" t="s">
        <v>4356</v>
      </c>
      <c r="X494" s="44" t="s">
        <v>1450</v>
      </c>
      <c r="Y494" s="44" t="s">
        <v>1429</v>
      </c>
      <c r="Z494" s="44" t="s">
        <v>1429</v>
      </c>
      <c r="AI494" s="44" t="s">
        <v>4357</v>
      </c>
      <c r="AK494" s="44" t="s">
        <v>1165</v>
      </c>
    </row>
    <row r="495" spans="2:37">
      <c r="B495" s="44" t="s">
        <v>936</v>
      </c>
      <c r="C495" s="44" t="s">
        <v>936</v>
      </c>
      <c r="D495" s="44" t="s">
        <v>4358</v>
      </c>
      <c r="E495" s="44" t="s">
        <v>1617</v>
      </c>
      <c r="F495" s="44" t="s">
        <v>1429</v>
      </c>
      <c r="G495" s="44" t="s">
        <v>1430</v>
      </c>
      <c r="I495" s="45">
        <v>44629.35582650463</v>
      </c>
      <c r="J495" s="44" t="s">
        <v>1756</v>
      </c>
      <c r="K495" s="44" t="s">
        <v>4359</v>
      </c>
      <c r="M495" s="44" t="s">
        <v>937</v>
      </c>
      <c r="N495" s="46" t="e">
        <f>VLOOKUP(M495,'Spend Export'!$B:$E,4,FALSE)</f>
        <v>#N/A</v>
      </c>
      <c r="O495" s="44" t="s">
        <v>1429</v>
      </c>
      <c r="P495" s="44" t="s">
        <v>4360</v>
      </c>
      <c r="Q495" s="44" t="s">
        <v>1429</v>
      </c>
      <c r="R495" s="44" t="s">
        <v>20</v>
      </c>
      <c r="S495" s="44" t="s">
        <v>19</v>
      </c>
      <c r="T495" s="44" t="s">
        <v>1458</v>
      </c>
      <c r="U495" s="44" t="s">
        <v>1458</v>
      </c>
      <c r="V495" s="44" t="s">
        <v>4361</v>
      </c>
      <c r="W495" s="44" t="s">
        <v>4362</v>
      </c>
      <c r="X495" s="44" t="s">
        <v>1439</v>
      </c>
      <c r="Y495" s="44" t="s">
        <v>1429</v>
      </c>
      <c r="Z495" s="44" t="s">
        <v>1429</v>
      </c>
      <c r="AA495" s="44" t="s">
        <v>1761</v>
      </c>
      <c r="AI495" s="44" t="s">
        <v>4363</v>
      </c>
      <c r="AK495" s="44" t="s">
        <v>937</v>
      </c>
    </row>
    <row r="496" spans="2:37">
      <c r="B496" s="44" t="s">
        <v>780</v>
      </c>
      <c r="C496" s="44" t="s">
        <v>780</v>
      </c>
      <c r="D496" s="44" t="s">
        <v>4280</v>
      </c>
      <c r="E496" s="44" t="s">
        <v>1207</v>
      </c>
      <c r="F496" s="44" t="s">
        <v>1429</v>
      </c>
      <c r="G496" s="44" t="s">
        <v>1430</v>
      </c>
      <c r="I496" s="45">
        <v>45141.614943020832</v>
      </c>
      <c r="J496" s="44" t="s">
        <v>4364</v>
      </c>
      <c r="K496" s="44" t="s">
        <v>4365</v>
      </c>
      <c r="M496" s="44" t="s">
        <v>781</v>
      </c>
      <c r="N496" s="46">
        <f>VLOOKUP(M496,'Spend Export'!$B:$E,4,FALSE)</f>
        <v>258.06</v>
      </c>
      <c r="O496" s="44" t="s">
        <v>1429</v>
      </c>
      <c r="P496" s="44" t="s">
        <v>4366</v>
      </c>
      <c r="Q496" s="44" t="s">
        <v>1429</v>
      </c>
      <c r="R496" s="44" t="s">
        <v>20</v>
      </c>
      <c r="S496" s="44" t="s">
        <v>19</v>
      </c>
      <c r="T496" s="44" t="s">
        <v>1502</v>
      </c>
      <c r="U496" s="44" t="s">
        <v>1502</v>
      </c>
      <c r="V496" s="44" t="s">
        <v>4367</v>
      </c>
      <c r="W496" s="44" t="s">
        <v>4368</v>
      </c>
      <c r="X496" s="44" t="s">
        <v>1450</v>
      </c>
      <c r="Y496" s="44" t="s">
        <v>1429</v>
      </c>
      <c r="Z496" s="44" t="s">
        <v>1429</v>
      </c>
      <c r="AI496" s="44" t="s">
        <v>4369</v>
      </c>
      <c r="AK496" s="44" t="s">
        <v>781</v>
      </c>
    </row>
    <row r="497" spans="1:37">
      <c r="B497" s="44" t="s">
        <v>822</v>
      </c>
      <c r="C497" s="44" t="s">
        <v>822</v>
      </c>
      <c r="D497" s="44" t="s">
        <v>3948</v>
      </c>
      <c r="E497" s="44" t="s">
        <v>1207</v>
      </c>
      <c r="F497" s="44" t="s">
        <v>1429</v>
      </c>
      <c r="G497" s="44" t="s">
        <v>1430</v>
      </c>
      <c r="I497" s="45">
        <v>42489.474791516201</v>
      </c>
      <c r="K497" s="44" t="s">
        <v>3949</v>
      </c>
      <c r="M497" s="44" t="s">
        <v>823</v>
      </c>
      <c r="N497" s="46">
        <f>VLOOKUP(M497,'Spend Export'!$B:$E,4,FALSE)</f>
        <v>258.06</v>
      </c>
      <c r="P497" s="44" t="s">
        <v>3950</v>
      </c>
      <c r="Q497" s="44" t="s">
        <v>1429</v>
      </c>
      <c r="R497" s="44" t="s">
        <v>20</v>
      </c>
      <c r="S497" s="44" t="s">
        <v>19</v>
      </c>
      <c r="T497" s="44" t="s">
        <v>1502</v>
      </c>
      <c r="U497" s="44" t="s">
        <v>1502</v>
      </c>
      <c r="X497" s="44" t="s">
        <v>1450</v>
      </c>
      <c r="Y497" s="44" t="s">
        <v>1429</v>
      </c>
      <c r="Z497" s="44" t="s">
        <v>1429</v>
      </c>
      <c r="AK497" s="44" t="s">
        <v>823</v>
      </c>
    </row>
    <row r="498" spans="1:37">
      <c r="B498" s="44" t="s">
        <v>1023</v>
      </c>
      <c r="C498" s="44" t="s">
        <v>1023</v>
      </c>
      <c r="D498" s="44" t="s">
        <v>4370</v>
      </c>
      <c r="E498" s="44" t="s">
        <v>3288</v>
      </c>
      <c r="F498" s="44" t="s">
        <v>4371</v>
      </c>
      <c r="G498" s="44" t="s">
        <v>1430</v>
      </c>
      <c r="I498" s="45">
        <v>39561.581166284719</v>
      </c>
      <c r="K498" s="44" t="s">
        <v>4372</v>
      </c>
      <c r="M498" s="44" t="s">
        <v>1024</v>
      </c>
      <c r="N498" s="46">
        <f>VLOOKUP(M498,'Spend Export'!$B:$E,4,FALSE)</f>
        <v>254.81</v>
      </c>
      <c r="O498" s="44" t="s">
        <v>1429</v>
      </c>
      <c r="P498" s="44" t="s">
        <v>1429</v>
      </c>
      <c r="Q498" s="44" t="s">
        <v>1429</v>
      </c>
      <c r="R498" s="44" t="s">
        <v>20</v>
      </c>
      <c r="S498" s="44" t="s">
        <v>20</v>
      </c>
      <c r="T498" s="44" t="s">
        <v>1964</v>
      </c>
      <c r="U498" s="44" t="s">
        <v>1964</v>
      </c>
      <c r="V498" s="44" t="s">
        <v>4373</v>
      </c>
      <c r="W498" s="44" t="s">
        <v>4374</v>
      </c>
      <c r="X498" s="44" t="s">
        <v>1461</v>
      </c>
      <c r="Y498" s="44" t="s">
        <v>1429</v>
      </c>
      <c r="Z498" s="44" t="s">
        <v>1429</v>
      </c>
      <c r="AG498" s="44" t="s">
        <v>4375</v>
      </c>
      <c r="AI498" s="44" t="s">
        <v>4376</v>
      </c>
      <c r="AK498" s="44" t="s">
        <v>1024</v>
      </c>
    </row>
    <row r="499" spans="1:37">
      <c r="B499" s="44" t="s">
        <v>810</v>
      </c>
      <c r="C499" s="44" t="s">
        <v>810</v>
      </c>
      <c r="D499" s="44" t="s">
        <v>4377</v>
      </c>
      <c r="E499" s="44" t="s">
        <v>1207</v>
      </c>
      <c r="F499" s="44" t="s">
        <v>4378</v>
      </c>
      <c r="G499" s="44" t="s">
        <v>1430</v>
      </c>
      <c r="I499" s="45">
        <v>42621.598579664351</v>
      </c>
      <c r="K499" s="44" t="s">
        <v>4379</v>
      </c>
      <c r="M499" s="44" t="s">
        <v>811</v>
      </c>
      <c r="N499" s="46">
        <f>VLOOKUP(M499,'Spend Export'!$B:$E,4,FALSE)</f>
        <v>252.26</v>
      </c>
      <c r="P499" s="44" t="s">
        <v>4380</v>
      </c>
      <c r="Q499" s="44" t="s">
        <v>1429</v>
      </c>
      <c r="R499" s="44" t="s">
        <v>20</v>
      </c>
      <c r="S499" s="44" t="s">
        <v>19</v>
      </c>
      <c r="T499" s="44" t="s">
        <v>1502</v>
      </c>
      <c r="U499" s="44" t="s">
        <v>1502</v>
      </c>
      <c r="V499" s="44" t="s">
        <v>810</v>
      </c>
      <c r="W499" s="44" t="s">
        <v>4381</v>
      </c>
      <c r="X499" s="44" t="s">
        <v>1584</v>
      </c>
      <c r="Y499" s="44" t="s">
        <v>1429</v>
      </c>
      <c r="Z499" s="44" t="s">
        <v>1429</v>
      </c>
      <c r="AK499" s="44" t="s">
        <v>811</v>
      </c>
    </row>
    <row r="500" spans="1:37">
      <c r="B500" s="44" t="s">
        <v>4382</v>
      </c>
      <c r="C500" s="44" t="s">
        <v>958</v>
      </c>
      <c r="D500" s="44" t="s">
        <v>1428</v>
      </c>
      <c r="E500" s="44" t="s">
        <v>1207</v>
      </c>
      <c r="F500" s="44" t="s">
        <v>4383</v>
      </c>
      <c r="G500" s="44" t="s">
        <v>1430</v>
      </c>
      <c r="I500" s="45">
        <v>40934.649090358798</v>
      </c>
      <c r="K500" s="44" t="s">
        <v>4384</v>
      </c>
      <c r="M500" s="44" t="s">
        <v>959</v>
      </c>
      <c r="N500" s="46">
        <f>VLOOKUP(M500,'Spend Export'!$B:$E,4,FALSE)</f>
        <v>240</v>
      </c>
      <c r="P500" s="44" t="s">
        <v>4385</v>
      </c>
      <c r="Q500" s="44" t="s">
        <v>1429</v>
      </c>
      <c r="R500" s="44" t="s">
        <v>20</v>
      </c>
      <c r="S500" s="44" t="s">
        <v>19</v>
      </c>
      <c r="T500" s="44" t="s">
        <v>1502</v>
      </c>
      <c r="U500" s="44" t="s">
        <v>1502</v>
      </c>
      <c r="V500" s="44" t="s">
        <v>4386</v>
      </c>
      <c r="W500" s="44" t="s">
        <v>4387</v>
      </c>
      <c r="X500" s="44" t="s">
        <v>1450</v>
      </c>
      <c r="Y500" s="44" t="s">
        <v>1386</v>
      </c>
      <c r="Z500" s="44" t="s">
        <v>1429</v>
      </c>
      <c r="AI500" s="44" t="s">
        <v>4388</v>
      </c>
      <c r="AK500" s="44" t="s">
        <v>959</v>
      </c>
    </row>
    <row r="501" spans="1:37">
      <c r="B501" s="44" t="s">
        <v>1042</v>
      </c>
      <c r="C501" s="44" t="s">
        <v>1042</v>
      </c>
      <c r="D501" s="44" t="s">
        <v>4389</v>
      </c>
      <c r="E501" s="44" t="s">
        <v>1476</v>
      </c>
      <c r="F501" s="44" t="s">
        <v>4390</v>
      </c>
      <c r="G501" s="44" t="s">
        <v>1430</v>
      </c>
      <c r="I501" s="45">
        <v>43691.589375312498</v>
      </c>
      <c r="J501" s="44" t="s">
        <v>4391</v>
      </c>
      <c r="K501" s="44" t="s">
        <v>4392</v>
      </c>
      <c r="M501" s="44" t="s">
        <v>1043</v>
      </c>
      <c r="N501" s="46">
        <f>VLOOKUP(M501,'Spend Export'!$B:$E,4,FALSE)</f>
        <v>239.27</v>
      </c>
      <c r="P501" s="44" t="s">
        <v>1429</v>
      </c>
      <c r="Q501" s="44" t="s">
        <v>1429</v>
      </c>
      <c r="R501" s="44" t="s">
        <v>20</v>
      </c>
      <c r="S501" s="44" t="s">
        <v>19</v>
      </c>
      <c r="T501" s="44" t="s">
        <v>1519</v>
      </c>
      <c r="U501" s="44" t="s">
        <v>1519</v>
      </c>
      <c r="V501" s="44" t="s">
        <v>4393</v>
      </c>
      <c r="W501" s="44" t="s">
        <v>4394</v>
      </c>
      <c r="X501" s="44" t="s">
        <v>1461</v>
      </c>
      <c r="Y501" s="44" t="s">
        <v>1429</v>
      </c>
      <c r="Z501" s="44" t="s">
        <v>1429</v>
      </c>
      <c r="AG501" s="44" t="s">
        <v>3331</v>
      </c>
      <c r="AI501" s="44" t="s">
        <v>4395</v>
      </c>
      <c r="AK501" s="44" t="s">
        <v>1043</v>
      </c>
    </row>
    <row r="502" spans="1:37">
      <c r="B502" s="44" t="s">
        <v>1005</v>
      </c>
      <c r="C502" s="44" t="s">
        <v>1005</v>
      </c>
      <c r="D502" s="44" t="s">
        <v>1522</v>
      </c>
      <c r="E502" s="44" t="s">
        <v>1207</v>
      </c>
      <c r="F502" s="44" t="s">
        <v>4396</v>
      </c>
      <c r="G502" s="44" t="s">
        <v>1430</v>
      </c>
      <c r="I502" s="45">
        <v>38715.609616354166</v>
      </c>
      <c r="K502" s="44" t="s">
        <v>4397</v>
      </c>
      <c r="M502" s="44" t="s">
        <v>1006</v>
      </c>
      <c r="N502" s="46">
        <f>VLOOKUP(M502,'Spend Export'!$B:$E,4,FALSE)</f>
        <v>217.55</v>
      </c>
      <c r="P502" s="44" t="s">
        <v>4398</v>
      </c>
      <c r="Q502" s="44" t="s">
        <v>1429</v>
      </c>
      <c r="R502" s="44" t="s">
        <v>19</v>
      </c>
      <c r="S502" s="44" t="s">
        <v>19</v>
      </c>
      <c r="T502" s="44" t="s">
        <v>1502</v>
      </c>
      <c r="U502" s="44" t="s">
        <v>1502</v>
      </c>
      <c r="X502" s="44" t="s">
        <v>1461</v>
      </c>
      <c r="Y502" s="44" t="s">
        <v>1429</v>
      </c>
      <c r="Z502" s="44" t="s">
        <v>1429</v>
      </c>
      <c r="AG502" s="44" t="s">
        <v>2472</v>
      </c>
      <c r="AK502" s="44" t="s">
        <v>1006</v>
      </c>
    </row>
    <row r="503" spans="1:37">
      <c r="B503" s="44" t="s">
        <v>1124</v>
      </c>
      <c r="C503" s="44" t="s">
        <v>1124</v>
      </c>
      <c r="D503" s="44" t="s">
        <v>4399</v>
      </c>
      <c r="E503" s="44" t="s">
        <v>1207</v>
      </c>
      <c r="F503" s="44" t="s">
        <v>1429</v>
      </c>
      <c r="G503" s="44" t="s">
        <v>1430</v>
      </c>
      <c r="I503" s="45">
        <v>45044.377650196759</v>
      </c>
      <c r="J503" s="44" t="s">
        <v>2652</v>
      </c>
      <c r="K503" s="44" t="s">
        <v>4400</v>
      </c>
      <c r="M503" s="44" t="s">
        <v>1125</v>
      </c>
      <c r="N503" s="46">
        <f>VLOOKUP(M503,'Spend Export'!$B:$E,4,FALSE)</f>
        <v>196</v>
      </c>
      <c r="O503" s="44" t="s">
        <v>1429</v>
      </c>
      <c r="P503" s="44" t="s">
        <v>4401</v>
      </c>
      <c r="Q503" s="44" t="s">
        <v>1429</v>
      </c>
      <c r="R503" s="44" t="s">
        <v>20</v>
      </c>
      <c r="S503" s="44" t="s">
        <v>19</v>
      </c>
      <c r="T503" s="44" t="s">
        <v>1502</v>
      </c>
      <c r="U503" s="44" t="s">
        <v>1502</v>
      </c>
      <c r="V503" s="44" t="s">
        <v>4402</v>
      </c>
      <c r="W503" s="44" t="s">
        <v>4403</v>
      </c>
      <c r="X503" s="44" t="s">
        <v>1450</v>
      </c>
      <c r="Y503" s="44" t="s">
        <v>1386</v>
      </c>
      <c r="Z503" s="44" t="s">
        <v>1429</v>
      </c>
      <c r="AI503" s="44" t="s">
        <v>4404</v>
      </c>
      <c r="AK503" s="44" t="s">
        <v>1125</v>
      </c>
    </row>
    <row r="504" spans="1:37">
      <c r="B504" s="44" t="s">
        <v>824</v>
      </c>
      <c r="C504" s="44" t="s">
        <v>824</v>
      </c>
      <c r="D504" s="44" t="s">
        <v>4405</v>
      </c>
      <c r="E504" s="44" t="s">
        <v>1207</v>
      </c>
      <c r="F504" s="44" t="s">
        <v>1429</v>
      </c>
      <c r="G504" s="44" t="s">
        <v>1430</v>
      </c>
      <c r="I504" s="45">
        <v>40676.556994791667</v>
      </c>
      <c r="K504" s="44" t="s">
        <v>4406</v>
      </c>
      <c r="M504" s="44" t="s">
        <v>825</v>
      </c>
      <c r="N504" s="46">
        <f>VLOOKUP(M504,'Spend Export'!$B:$E,4,FALSE)</f>
        <v>165</v>
      </c>
      <c r="P504" s="44" t="s">
        <v>4407</v>
      </c>
      <c r="Q504" s="44" t="s">
        <v>1429</v>
      </c>
      <c r="R504" s="44" t="s">
        <v>20</v>
      </c>
      <c r="S504" s="44" t="s">
        <v>19</v>
      </c>
      <c r="T504" s="44" t="s">
        <v>1502</v>
      </c>
      <c r="U504" s="44" t="s">
        <v>1502</v>
      </c>
      <c r="X504" s="44" t="s">
        <v>1461</v>
      </c>
      <c r="Y504" s="44" t="s">
        <v>1429</v>
      </c>
      <c r="Z504" s="44" t="s">
        <v>1429</v>
      </c>
      <c r="AK504" s="44" t="s">
        <v>825</v>
      </c>
    </row>
    <row r="505" spans="1:37">
      <c r="B505" s="44" t="s">
        <v>960</v>
      </c>
      <c r="C505" s="44" t="s">
        <v>960</v>
      </c>
      <c r="D505" s="44" t="s">
        <v>2354</v>
      </c>
      <c r="E505" s="44" t="s">
        <v>1682</v>
      </c>
      <c r="F505" s="44" t="s">
        <v>4408</v>
      </c>
      <c r="G505" s="44" t="s">
        <v>1430</v>
      </c>
      <c r="I505" s="45">
        <v>43452.652775428243</v>
      </c>
      <c r="J505" s="44" t="s">
        <v>4409</v>
      </c>
      <c r="K505" s="44" t="s">
        <v>4410</v>
      </c>
      <c r="M505" s="44" t="s">
        <v>961</v>
      </c>
      <c r="N505" s="46">
        <f>VLOOKUP(M505,'Spend Export'!$B:$E,4,FALSE)</f>
        <v>150</v>
      </c>
      <c r="P505" s="44" t="s">
        <v>4411</v>
      </c>
      <c r="Q505" s="44" t="s">
        <v>1429</v>
      </c>
      <c r="R505" s="44" t="s">
        <v>20</v>
      </c>
      <c r="S505" s="44" t="s">
        <v>19</v>
      </c>
      <c r="T505" s="44" t="s">
        <v>4412</v>
      </c>
      <c r="U505" s="44" t="s">
        <v>4412</v>
      </c>
      <c r="V505" s="44" t="s">
        <v>4413</v>
      </c>
      <c r="W505" s="44" t="s">
        <v>4414</v>
      </c>
      <c r="X505" s="44" t="s">
        <v>1439</v>
      </c>
      <c r="Y505" s="44" t="s">
        <v>1429</v>
      </c>
      <c r="Z505" s="44" t="s">
        <v>1386</v>
      </c>
      <c r="AG505" s="44" t="s">
        <v>4409</v>
      </c>
      <c r="AI505" s="44" t="s">
        <v>4415</v>
      </c>
      <c r="AK505" s="44" t="s">
        <v>961</v>
      </c>
    </row>
    <row r="506" spans="1:37">
      <c r="B506" s="44" t="s">
        <v>1027</v>
      </c>
      <c r="C506" s="44" t="s">
        <v>1027</v>
      </c>
      <c r="D506" s="44" t="s">
        <v>1522</v>
      </c>
      <c r="E506" s="44" t="s">
        <v>1207</v>
      </c>
      <c r="F506" s="44" t="s">
        <v>4416</v>
      </c>
      <c r="G506" s="44" t="s">
        <v>1430</v>
      </c>
      <c r="I506" s="45">
        <v>44271.545360266202</v>
      </c>
      <c r="J506" s="44" t="s">
        <v>4417</v>
      </c>
      <c r="K506" s="44" t="s">
        <v>4418</v>
      </c>
      <c r="M506" s="44" t="s">
        <v>1028</v>
      </c>
      <c r="N506" s="46">
        <f>VLOOKUP(M506,'Spend Export'!$B:$E,4,FALSE)</f>
        <v>150</v>
      </c>
      <c r="P506" s="44" t="s">
        <v>4419</v>
      </c>
      <c r="Q506" s="44" t="s">
        <v>1429</v>
      </c>
      <c r="R506" s="44" t="s">
        <v>20</v>
      </c>
      <c r="S506" s="44" t="s">
        <v>19</v>
      </c>
      <c r="T506" s="44" t="s">
        <v>1502</v>
      </c>
      <c r="U506" s="44" t="s">
        <v>1502</v>
      </c>
      <c r="V506" s="44" t="s">
        <v>4420</v>
      </c>
      <c r="W506" s="44" t="s">
        <v>4416</v>
      </c>
      <c r="X506" s="44" t="s">
        <v>1450</v>
      </c>
      <c r="Y506" s="44" t="s">
        <v>1429</v>
      </c>
      <c r="Z506" s="44" t="s">
        <v>1429</v>
      </c>
      <c r="AI506" s="44" t="s">
        <v>4421</v>
      </c>
      <c r="AK506" s="44" t="s">
        <v>1028</v>
      </c>
    </row>
    <row r="507" spans="1:37">
      <c r="B507" s="44" t="s">
        <v>1090</v>
      </c>
      <c r="C507" s="44" t="s">
        <v>1090</v>
      </c>
      <c r="D507" s="44" t="s">
        <v>2201</v>
      </c>
      <c r="E507" s="44" t="s">
        <v>1207</v>
      </c>
      <c r="F507" s="44" t="s">
        <v>1429</v>
      </c>
      <c r="G507" s="44" t="s">
        <v>1430</v>
      </c>
      <c r="I507" s="45">
        <v>44244.381931365744</v>
      </c>
      <c r="J507" s="44" t="s">
        <v>3530</v>
      </c>
      <c r="K507" s="44" t="s">
        <v>4422</v>
      </c>
      <c r="M507" s="44" t="s">
        <v>1091</v>
      </c>
      <c r="N507" s="46">
        <f>VLOOKUP(M507,'Spend Export'!$B:$E,4,FALSE)</f>
        <v>139</v>
      </c>
      <c r="O507" s="44" t="s">
        <v>1429</v>
      </c>
      <c r="P507" s="44" t="s">
        <v>4423</v>
      </c>
      <c r="Q507" s="44" t="s">
        <v>1429</v>
      </c>
      <c r="R507" s="44" t="s">
        <v>20</v>
      </c>
      <c r="S507" s="44" t="s">
        <v>19</v>
      </c>
      <c r="T507" s="44" t="s">
        <v>1502</v>
      </c>
      <c r="U507" s="44" t="s">
        <v>1502</v>
      </c>
      <c r="V507" s="44" t="s">
        <v>4424</v>
      </c>
      <c r="W507" s="44" t="s">
        <v>4425</v>
      </c>
      <c r="X507" s="44" t="s">
        <v>1450</v>
      </c>
      <c r="Y507" s="44" t="s">
        <v>1429</v>
      </c>
      <c r="Z507" s="44" t="s">
        <v>1429</v>
      </c>
      <c r="AI507" s="44" t="s">
        <v>4426</v>
      </c>
      <c r="AK507" s="44" t="s">
        <v>1091</v>
      </c>
    </row>
    <row r="508" spans="1:37">
      <c r="B508" s="44" t="s">
        <v>914</v>
      </c>
      <c r="C508" s="44" t="s">
        <v>914</v>
      </c>
      <c r="D508" s="44" t="s">
        <v>4427</v>
      </c>
      <c r="E508" s="44" t="s">
        <v>1207</v>
      </c>
      <c r="F508" s="44" t="s">
        <v>1429</v>
      </c>
      <c r="G508" s="44" t="s">
        <v>1430</v>
      </c>
      <c r="I508" s="45">
        <v>44116.369996180554</v>
      </c>
      <c r="J508" s="44" t="s">
        <v>4428</v>
      </c>
      <c r="K508" s="44" t="s">
        <v>4429</v>
      </c>
      <c r="M508" s="44" t="s">
        <v>915</v>
      </c>
      <c r="N508" s="46">
        <f>VLOOKUP(M508,'Spend Export'!$B:$E,4,FALSE)</f>
        <v>122.81</v>
      </c>
      <c r="P508" s="44" t="s">
        <v>4430</v>
      </c>
      <c r="Q508" s="44" t="s">
        <v>1429</v>
      </c>
      <c r="R508" s="44" t="s">
        <v>20</v>
      </c>
      <c r="S508" s="44" t="s">
        <v>19</v>
      </c>
      <c r="T508" s="44" t="s">
        <v>1502</v>
      </c>
      <c r="U508" s="44" t="s">
        <v>1502</v>
      </c>
      <c r="V508" s="44" t="s">
        <v>4431</v>
      </c>
      <c r="W508" s="44" t="s">
        <v>4432</v>
      </c>
      <c r="X508" s="44" t="s">
        <v>1461</v>
      </c>
      <c r="Y508" s="44" t="s">
        <v>1429</v>
      </c>
      <c r="Z508" s="44" t="s">
        <v>1429</v>
      </c>
      <c r="AI508" s="44" t="s">
        <v>4433</v>
      </c>
      <c r="AK508" s="44" t="s">
        <v>915</v>
      </c>
    </row>
    <row r="509" spans="1:37">
      <c r="B509" s="44" t="s">
        <v>1158</v>
      </c>
      <c r="C509" s="44" t="s">
        <v>1158</v>
      </c>
      <c r="D509" s="44" t="s">
        <v>1769</v>
      </c>
      <c r="E509" s="44" t="s">
        <v>1207</v>
      </c>
      <c r="F509" s="44" t="s">
        <v>1429</v>
      </c>
      <c r="G509" s="44" t="s">
        <v>1430</v>
      </c>
      <c r="I509" s="45">
        <v>41772.368738807869</v>
      </c>
      <c r="J509" s="44" t="s">
        <v>3759</v>
      </c>
      <c r="K509" s="44" t="s">
        <v>4434</v>
      </c>
      <c r="M509" s="44" t="s">
        <v>1159</v>
      </c>
      <c r="N509" s="46">
        <f>VLOOKUP(M509,'Spend Export'!$B:$E,4,FALSE)</f>
        <v>120</v>
      </c>
      <c r="O509" s="44" t="s">
        <v>1429</v>
      </c>
      <c r="P509" s="44" t="s">
        <v>4435</v>
      </c>
      <c r="Q509" s="44" t="s">
        <v>1429</v>
      </c>
      <c r="R509" s="44" t="s">
        <v>20</v>
      </c>
      <c r="S509" s="44" t="s">
        <v>19</v>
      </c>
      <c r="T509" s="44" t="s">
        <v>1502</v>
      </c>
      <c r="U509" s="44" t="s">
        <v>1502</v>
      </c>
      <c r="X509" s="44" t="s">
        <v>1461</v>
      </c>
      <c r="Y509" s="44" t="s">
        <v>1429</v>
      </c>
      <c r="Z509" s="44" t="s">
        <v>1429</v>
      </c>
      <c r="AI509" s="44" t="s">
        <v>4436</v>
      </c>
      <c r="AK509" s="44" t="s">
        <v>1159</v>
      </c>
    </row>
    <row r="510" spans="1:37">
      <c r="A510" s="44" t="s">
        <v>4437</v>
      </c>
      <c r="B510" s="44" t="s">
        <v>1062</v>
      </c>
      <c r="C510" s="44" t="s">
        <v>1062</v>
      </c>
      <c r="D510" s="44" t="s">
        <v>1651</v>
      </c>
      <c r="E510" s="44" t="s">
        <v>1652</v>
      </c>
      <c r="F510" s="44" t="s">
        <v>1429</v>
      </c>
      <c r="G510" s="44" t="s">
        <v>1430</v>
      </c>
      <c r="H510" s="44" t="s">
        <v>1431</v>
      </c>
      <c r="I510" s="45">
        <v>39638.663042905093</v>
      </c>
      <c r="K510" s="44" t="s">
        <v>4438</v>
      </c>
      <c r="M510" s="44" t="s">
        <v>1063</v>
      </c>
      <c r="N510" s="46">
        <f>VLOOKUP(M510,'Spend Export'!$B:$E,4,FALSE)</f>
        <v>109.92</v>
      </c>
      <c r="P510" s="44" t="s">
        <v>4439</v>
      </c>
      <c r="Q510" s="44" t="s">
        <v>1429</v>
      </c>
      <c r="R510" s="44" t="s">
        <v>19</v>
      </c>
      <c r="S510" s="44" t="s">
        <v>19</v>
      </c>
      <c r="T510" s="44" t="s">
        <v>1484</v>
      </c>
      <c r="U510" s="44" t="s">
        <v>1484</v>
      </c>
      <c r="V510" s="44" t="s">
        <v>4440</v>
      </c>
      <c r="W510" s="44" t="s">
        <v>4441</v>
      </c>
      <c r="X510" s="44" t="s">
        <v>1461</v>
      </c>
      <c r="Y510" s="44" t="s">
        <v>1429</v>
      </c>
      <c r="Z510" s="44" t="s">
        <v>1429</v>
      </c>
      <c r="AK510" s="44" t="s">
        <v>1063</v>
      </c>
    </row>
    <row r="511" spans="1:37">
      <c r="B511" s="44" t="s">
        <v>4442</v>
      </c>
      <c r="C511" s="44" t="s">
        <v>4442</v>
      </c>
      <c r="D511" s="44" t="s">
        <v>4443</v>
      </c>
      <c r="E511" s="44" t="s">
        <v>1207</v>
      </c>
      <c r="F511" s="44" t="s">
        <v>1429</v>
      </c>
      <c r="G511" s="44" t="s">
        <v>1430</v>
      </c>
      <c r="I511" s="45">
        <v>42786.546561423609</v>
      </c>
      <c r="K511" s="44" t="s">
        <v>4444</v>
      </c>
      <c r="M511" s="44" t="s">
        <v>1173</v>
      </c>
      <c r="N511" s="46">
        <f>VLOOKUP(M511,'Spend Export'!$B:$E,4,FALSE)</f>
        <v>108.87</v>
      </c>
      <c r="P511" s="44" t="s">
        <v>4445</v>
      </c>
      <c r="Q511" s="44" t="s">
        <v>1429</v>
      </c>
      <c r="R511" s="44" t="s">
        <v>20</v>
      </c>
      <c r="S511" s="44" t="s">
        <v>19</v>
      </c>
      <c r="T511" s="44" t="s">
        <v>4446</v>
      </c>
      <c r="U511" s="44" t="s">
        <v>1502</v>
      </c>
      <c r="X511" s="44" t="s">
        <v>1439</v>
      </c>
      <c r="Y511" s="44" t="s">
        <v>1429</v>
      </c>
      <c r="Z511" s="44" t="s">
        <v>1386</v>
      </c>
      <c r="AI511" s="44" t="s">
        <v>4447</v>
      </c>
      <c r="AK511" s="44" t="s">
        <v>1173</v>
      </c>
    </row>
    <row r="512" spans="1:37">
      <c r="B512" s="44" t="s">
        <v>1029</v>
      </c>
      <c r="C512" s="44" t="s">
        <v>1029</v>
      </c>
      <c r="D512" s="44" t="s">
        <v>1522</v>
      </c>
      <c r="E512" s="44" t="s">
        <v>1207</v>
      </c>
      <c r="F512" s="44" t="s">
        <v>1429</v>
      </c>
      <c r="G512" s="44" t="s">
        <v>1430</v>
      </c>
      <c r="I512" s="45">
        <v>43054.403542280095</v>
      </c>
      <c r="J512" s="44" t="s">
        <v>3897</v>
      </c>
      <c r="K512" s="44" t="s">
        <v>4448</v>
      </c>
      <c r="M512" s="44" t="s">
        <v>1030</v>
      </c>
      <c r="N512" s="46">
        <f>VLOOKUP(M512,'Spend Export'!$B:$E,4,FALSE)</f>
        <v>100.9</v>
      </c>
      <c r="P512" s="44" t="s">
        <v>4449</v>
      </c>
      <c r="Q512" s="44" t="s">
        <v>1429</v>
      </c>
      <c r="R512" s="44" t="s">
        <v>20</v>
      </c>
      <c r="S512" s="44" t="s">
        <v>19</v>
      </c>
      <c r="T512" s="44" t="s">
        <v>1656</v>
      </c>
      <c r="U512" s="44" t="s">
        <v>1502</v>
      </c>
      <c r="V512" s="44" t="s">
        <v>4450</v>
      </c>
      <c r="W512" s="44" t="s">
        <v>4451</v>
      </c>
      <c r="X512" s="44" t="s">
        <v>1450</v>
      </c>
      <c r="Y512" s="44" t="s">
        <v>1386</v>
      </c>
      <c r="Z512" s="44" t="s">
        <v>1386</v>
      </c>
      <c r="AG512" s="44" t="s">
        <v>3897</v>
      </c>
      <c r="AI512" s="44" t="s">
        <v>4452</v>
      </c>
      <c r="AK512" s="44" t="s">
        <v>1030</v>
      </c>
    </row>
    <row r="513" spans="1:37">
      <c r="B513" s="44" t="s">
        <v>918</v>
      </c>
      <c r="C513" s="44" t="s">
        <v>918</v>
      </c>
      <c r="D513" s="44" t="s">
        <v>4453</v>
      </c>
      <c r="E513" s="44" t="s">
        <v>1207</v>
      </c>
      <c r="F513" s="44" t="s">
        <v>1429</v>
      </c>
      <c r="G513" s="44" t="s">
        <v>1430</v>
      </c>
      <c r="I513" s="45">
        <v>43978.617431712963</v>
      </c>
      <c r="J513" s="44" t="s">
        <v>2825</v>
      </c>
      <c r="K513" s="44" t="s">
        <v>4454</v>
      </c>
      <c r="M513" s="44" t="s">
        <v>919</v>
      </c>
      <c r="N513" s="46">
        <f>VLOOKUP(M513,'Spend Export'!$B:$E,4,FALSE)</f>
        <v>100</v>
      </c>
      <c r="O513" s="44" t="s">
        <v>1429</v>
      </c>
      <c r="P513" s="44" t="s">
        <v>4455</v>
      </c>
      <c r="Q513" s="44" t="s">
        <v>1429</v>
      </c>
      <c r="R513" s="44" t="s">
        <v>20</v>
      </c>
      <c r="S513" s="44" t="s">
        <v>20</v>
      </c>
      <c r="T513" s="44" t="s">
        <v>1502</v>
      </c>
      <c r="U513" s="44" t="s">
        <v>1502</v>
      </c>
      <c r="V513" s="44" t="s">
        <v>4456</v>
      </c>
      <c r="W513" s="44" t="s">
        <v>4457</v>
      </c>
      <c r="X513" s="44" t="s">
        <v>1450</v>
      </c>
      <c r="Y513" s="44" t="s">
        <v>1429</v>
      </c>
      <c r="Z513" s="44" t="s">
        <v>1386</v>
      </c>
      <c r="AI513" s="44" t="s">
        <v>4458</v>
      </c>
      <c r="AK513" s="44" t="s">
        <v>919</v>
      </c>
    </row>
    <row r="514" spans="1:37">
      <c r="B514" s="44" t="s">
        <v>1098</v>
      </c>
      <c r="C514" s="44" t="s">
        <v>1098</v>
      </c>
      <c r="D514" s="44" t="s">
        <v>4459</v>
      </c>
      <c r="E514" s="44" t="s">
        <v>1207</v>
      </c>
      <c r="F514" s="44" t="s">
        <v>1429</v>
      </c>
      <c r="G514" s="44" t="s">
        <v>1430</v>
      </c>
      <c r="I514" s="45">
        <v>44674.6998622338</v>
      </c>
      <c r="J514" s="44" t="s">
        <v>4460</v>
      </c>
      <c r="K514" s="44" t="s">
        <v>4461</v>
      </c>
      <c r="M514" s="44" t="s">
        <v>1099</v>
      </c>
      <c r="N514" s="46">
        <f>VLOOKUP(M514,'Spend Export'!$B:$E,4,FALSE)</f>
        <v>90</v>
      </c>
      <c r="O514" s="44" t="s">
        <v>1429</v>
      </c>
      <c r="P514" s="44" t="s">
        <v>4462</v>
      </c>
      <c r="Q514" s="44" t="s">
        <v>1429</v>
      </c>
      <c r="R514" s="44" t="s">
        <v>20</v>
      </c>
      <c r="S514" s="44" t="s">
        <v>20</v>
      </c>
      <c r="T514" s="44" t="s">
        <v>1964</v>
      </c>
      <c r="U514" s="44" t="s">
        <v>1964</v>
      </c>
      <c r="V514" s="44" t="s">
        <v>4463</v>
      </c>
      <c r="W514" s="44" t="s">
        <v>4464</v>
      </c>
      <c r="X514" s="44" t="s">
        <v>1584</v>
      </c>
      <c r="Y514" s="44" t="s">
        <v>1429</v>
      </c>
      <c r="Z514" s="44" t="s">
        <v>1386</v>
      </c>
      <c r="AI514" s="44" t="s">
        <v>4465</v>
      </c>
      <c r="AK514" s="44" t="s">
        <v>1099</v>
      </c>
    </row>
    <row r="515" spans="1:37">
      <c r="B515" s="44" t="s">
        <v>1072</v>
      </c>
      <c r="C515" s="44" t="s">
        <v>1072</v>
      </c>
      <c r="D515" s="44" t="s">
        <v>2693</v>
      </c>
      <c r="E515" s="44" t="s">
        <v>1207</v>
      </c>
      <c r="F515" s="44" t="s">
        <v>1429</v>
      </c>
      <c r="G515" s="44" t="s">
        <v>1430</v>
      </c>
      <c r="I515" s="45">
        <v>44844.482997303239</v>
      </c>
      <c r="J515" s="44" t="s">
        <v>4466</v>
      </c>
      <c r="K515" s="44" t="s">
        <v>4467</v>
      </c>
      <c r="M515" s="44" t="s">
        <v>1073</v>
      </c>
      <c r="N515" s="46">
        <f>VLOOKUP(M515,'Spend Export'!$B:$E,4,FALSE)</f>
        <v>71.5</v>
      </c>
      <c r="O515" s="44" t="s">
        <v>1429</v>
      </c>
      <c r="P515" s="44" t="s">
        <v>4468</v>
      </c>
      <c r="Q515" s="44" t="s">
        <v>1429</v>
      </c>
      <c r="R515" s="44" t="s">
        <v>20</v>
      </c>
      <c r="S515" s="44" t="s">
        <v>19</v>
      </c>
      <c r="T515" s="44" t="s">
        <v>1502</v>
      </c>
      <c r="U515" s="44" t="s">
        <v>1502</v>
      </c>
      <c r="V515" s="44" t="s">
        <v>4469</v>
      </c>
      <c r="W515" s="44" t="s">
        <v>4470</v>
      </c>
      <c r="X515" s="44" t="s">
        <v>1450</v>
      </c>
      <c r="Y515" s="44" t="s">
        <v>1429</v>
      </c>
      <c r="Z515" s="44" t="s">
        <v>1429</v>
      </c>
      <c r="AI515" s="44" t="s">
        <v>4471</v>
      </c>
      <c r="AK515" s="44" t="s">
        <v>1073</v>
      </c>
    </row>
    <row r="516" spans="1:37">
      <c r="B516" s="44" t="s">
        <v>1144</v>
      </c>
      <c r="C516" s="44" t="s">
        <v>1144</v>
      </c>
      <c r="D516" s="44" t="s">
        <v>1522</v>
      </c>
      <c r="E516" s="44" t="s">
        <v>1207</v>
      </c>
      <c r="F516" s="44" t="s">
        <v>1429</v>
      </c>
      <c r="G516" s="44" t="s">
        <v>1430</v>
      </c>
      <c r="I516" s="45">
        <v>44077.855155092591</v>
      </c>
      <c r="J516" s="44" t="s">
        <v>2962</v>
      </c>
      <c r="K516" s="44" t="s">
        <v>4472</v>
      </c>
      <c r="M516" s="44" t="s">
        <v>1145</v>
      </c>
      <c r="N516" s="46">
        <f>VLOOKUP(M516,'Spend Export'!$B:$E,4,FALSE)</f>
        <v>50</v>
      </c>
      <c r="P516" s="44" t="s">
        <v>4473</v>
      </c>
      <c r="Q516" s="44" t="s">
        <v>1429</v>
      </c>
      <c r="R516" s="44" t="s">
        <v>20</v>
      </c>
      <c r="S516" s="44" t="s">
        <v>19</v>
      </c>
      <c r="T516" s="44" t="s">
        <v>1964</v>
      </c>
      <c r="U516" s="44" t="s">
        <v>1964</v>
      </c>
      <c r="V516" s="44" t="s">
        <v>4474</v>
      </c>
      <c r="W516" s="44" t="s">
        <v>4475</v>
      </c>
      <c r="X516" s="44" t="s">
        <v>1450</v>
      </c>
      <c r="Y516" s="44" t="s">
        <v>1429</v>
      </c>
      <c r="Z516" s="44" t="s">
        <v>1386</v>
      </c>
      <c r="AI516" s="44" t="s">
        <v>4476</v>
      </c>
      <c r="AK516" s="44" t="s">
        <v>1145</v>
      </c>
    </row>
    <row r="517" spans="1:37">
      <c r="B517" s="44" t="s">
        <v>994</v>
      </c>
      <c r="C517" s="44" t="s">
        <v>994</v>
      </c>
      <c r="D517" s="44" t="s">
        <v>4477</v>
      </c>
      <c r="E517" s="44" t="s">
        <v>1652</v>
      </c>
      <c r="F517" s="44" t="s">
        <v>1429</v>
      </c>
      <c r="G517" s="44" t="s">
        <v>1430</v>
      </c>
      <c r="I517" s="45">
        <v>38637.452178587962</v>
      </c>
      <c r="K517" s="44" t="s">
        <v>4478</v>
      </c>
      <c r="M517" s="44" t="s">
        <v>995</v>
      </c>
      <c r="N517" s="46">
        <f>VLOOKUP(M517,'Spend Export'!$B:$E,4,FALSE)</f>
        <v>31.91</v>
      </c>
      <c r="O517" s="44" t="s">
        <v>1429</v>
      </c>
      <c r="P517" s="44" t="s">
        <v>4479</v>
      </c>
      <c r="Q517" s="44" t="s">
        <v>1429</v>
      </c>
      <c r="R517" s="44" t="s">
        <v>19</v>
      </c>
      <c r="S517" s="44" t="s">
        <v>19</v>
      </c>
      <c r="T517" s="44" t="s">
        <v>1556</v>
      </c>
      <c r="U517" s="44" t="s">
        <v>1556</v>
      </c>
      <c r="X517" s="44" t="s">
        <v>2283</v>
      </c>
      <c r="Y517" s="44" t="s">
        <v>1429</v>
      </c>
      <c r="Z517" s="44" t="s">
        <v>1429</v>
      </c>
      <c r="AH517" s="44" t="s">
        <v>4480</v>
      </c>
      <c r="AI517" s="44" t="s">
        <v>4481</v>
      </c>
      <c r="AK517" s="44" t="s">
        <v>995</v>
      </c>
    </row>
    <row r="518" spans="1:37">
      <c r="B518" s="44" t="s">
        <v>774</v>
      </c>
      <c r="C518" s="44" t="s">
        <v>774</v>
      </c>
      <c r="D518" s="44" t="s">
        <v>4482</v>
      </c>
      <c r="E518" s="44" t="s">
        <v>2005</v>
      </c>
      <c r="F518" s="44" t="s">
        <v>1429</v>
      </c>
      <c r="G518" s="44" t="s">
        <v>1430</v>
      </c>
      <c r="I518" s="45">
        <v>44663.437211493052</v>
      </c>
      <c r="J518" s="44" t="s">
        <v>4483</v>
      </c>
      <c r="K518" s="44" t="s">
        <v>4484</v>
      </c>
      <c r="M518" s="44" t="s">
        <v>775</v>
      </c>
      <c r="N518" s="46">
        <f>VLOOKUP(M518,'Spend Export'!$B:$E,4,FALSE)</f>
        <v>0</v>
      </c>
      <c r="O518" s="44" t="s">
        <v>1429</v>
      </c>
      <c r="P518" s="44" t="s">
        <v>4485</v>
      </c>
      <c r="Q518" s="44" t="s">
        <v>1429</v>
      </c>
      <c r="R518" s="44" t="s">
        <v>20</v>
      </c>
      <c r="S518" s="44" t="s">
        <v>19</v>
      </c>
      <c r="T518" s="44" t="s">
        <v>1556</v>
      </c>
      <c r="U518" s="44" t="s">
        <v>1556</v>
      </c>
      <c r="V518" s="44" t="s">
        <v>4486</v>
      </c>
      <c r="W518" s="44" t="s">
        <v>4487</v>
      </c>
      <c r="X518" s="44" t="s">
        <v>1450</v>
      </c>
      <c r="Y518" s="44" t="s">
        <v>1429</v>
      </c>
      <c r="Z518" s="44" t="s">
        <v>1429</v>
      </c>
      <c r="AI518" s="44" t="s">
        <v>4488</v>
      </c>
      <c r="AK518" s="44" t="s">
        <v>775</v>
      </c>
    </row>
    <row r="519" spans="1:37">
      <c r="A519" s="44" t="s">
        <v>4489</v>
      </c>
      <c r="B519" s="44" t="s">
        <v>778</v>
      </c>
      <c r="C519" s="44" t="s">
        <v>778</v>
      </c>
      <c r="D519" s="44" t="s">
        <v>2385</v>
      </c>
      <c r="E519" s="44" t="s">
        <v>1682</v>
      </c>
      <c r="F519" s="44" t="s">
        <v>4490</v>
      </c>
      <c r="G519" s="44" t="s">
        <v>1430</v>
      </c>
      <c r="H519" s="44" t="s">
        <v>1431</v>
      </c>
      <c r="I519" s="45">
        <v>44390.758026967589</v>
      </c>
      <c r="J519" s="44" t="s">
        <v>4491</v>
      </c>
      <c r="K519" s="44" t="s">
        <v>4492</v>
      </c>
      <c r="M519" s="44" t="s">
        <v>779</v>
      </c>
      <c r="N519" s="46">
        <f>VLOOKUP(M519,'Spend Export'!$B:$E,4,FALSE)</f>
        <v>0</v>
      </c>
      <c r="O519" s="44" t="s">
        <v>1429</v>
      </c>
      <c r="P519" s="44" t="s">
        <v>4493</v>
      </c>
      <c r="Q519" s="44" t="s">
        <v>1429</v>
      </c>
      <c r="R519" s="44" t="s">
        <v>20</v>
      </c>
      <c r="S519" s="44" t="s">
        <v>19</v>
      </c>
      <c r="T519" s="44" t="s">
        <v>1708</v>
      </c>
      <c r="U519" s="44" t="s">
        <v>1708</v>
      </c>
      <c r="V519" s="44" t="s">
        <v>4494</v>
      </c>
      <c r="W519" s="44" t="s">
        <v>4495</v>
      </c>
      <c r="X519" s="44" t="s">
        <v>1584</v>
      </c>
      <c r="Y519" s="44" t="s">
        <v>1429</v>
      </c>
      <c r="Z519" s="44" t="s">
        <v>1386</v>
      </c>
      <c r="AG519" s="44" t="s">
        <v>4491</v>
      </c>
      <c r="AI519" s="44" t="s">
        <v>4496</v>
      </c>
      <c r="AK519" s="44" t="s">
        <v>779</v>
      </c>
    </row>
    <row r="520" spans="1:37">
      <c r="B520" s="44" t="s">
        <v>402</v>
      </c>
      <c r="C520" s="44" t="s">
        <v>402</v>
      </c>
      <c r="D520" s="44" t="s">
        <v>1443</v>
      </c>
      <c r="E520" s="44" t="s">
        <v>1207</v>
      </c>
      <c r="F520" s="44" t="s">
        <v>1429</v>
      </c>
      <c r="G520" s="44" t="s">
        <v>1430</v>
      </c>
      <c r="I520" s="45">
        <v>44636.541043900463</v>
      </c>
      <c r="J520" s="44" t="s">
        <v>1756</v>
      </c>
      <c r="K520" s="44" t="s">
        <v>4497</v>
      </c>
      <c r="M520" s="44" t="s">
        <v>403</v>
      </c>
      <c r="N520" s="46" t="e">
        <f>VLOOKUP(M520,'Spend Export'!$B:$E,4,FALSE)</f>
        <v>#N/A</v>
      </c>
      <c r="O520" s="44" t="s">
        <v>1429</v>
      </c>
      <c r="P520" s="44" t="s">
        <v>4498</v>
      </c>
      <c r="Q520" s="44" t="s">
        <v>1429</v>
      </c>
      <c r="R520" s="44" t="s">
        <v>20</v>
      </c>
      <c r="S520" s="44" t="s">
        <v>19</v>
      </c>
      <c r="T520" s="44" t="s">
        <v>1458</v>
      </c>
      <c r="U520" s="44" t="s">
        <v>1458</v>
      </c>
      <c r="V520" s="44" t="s">
        <v>4499</v>
      </c>
      <c r="W520" s="44" t="s">
        <v>4500</v>
      </c>
      <c r="X520" s="44" t="s">
        <v>1450</v>
      </c>
      <c r="Y520" s="44" t="s">
        <v>1386</v>
      </c>
      <c r="Z520" s="44" t="s">
        <v>1429</v>
      </c>
      <c r="AA520" s="44" t="s">
        <v>1761</v>
      </c>
      <c r="AI520" s="44" t="s">
        <v>2426</v>
      </c>
      <c r="AK520" s="44" t="s">
        <v>403</v>
      </c>
    </row>
    <row r="521" spans="1:37">
      <c r="B521" s="44" t="s">
        <v>836</v>
      </c>
      <c r="C521" s="44" t="s">
        <v>836</v>
      </c>
      <c r="D521" s="44" t="s">
        <v>2947</v>
      </c>
      <c r="E521" s="44" t="s">
        <v>2102</v>
      </c>
      <c r="F521" s="44" t="s">
        <v>1429</v>
      </c>
      <c r="G521" s="44" t="s">
        <v>1430</v>
      </c>
      <c r="I521" s="45">
        <v>43924.487988738423</v>
      </c>
      <c r="J521" s="44" t="s">
        <v>2800</v>
      </c>
      <c r="K521" s="44" t="s">
        <v>4501</v>
      </c>
      <c r="M521" s="44" t="s">
        <v>837</v>
      </c>
      <c r="N521" s="46">
        <f>VLOOKUP(M521,'Spend Export'!$B:$E,4,FALSE)</f>
        <v>-1580.82</v>
      </c>
      <c r="P521" s="44" t="s">
        <v>4502</v>
      </c>
      <c r="Q521" s="44" t="s">
        <v>1429</v>
      </c>
      <c r="R521" s="44" t="s">
        <v>20</v>
      </c>
      <c r="S521" s="44" t="s">
        <v>19</v>
      </c>
      <c r="T521" s="44" t="s">
        <v>1484</v>
      </c>
      <c r="U521" s="44" t="s">
        <v>1484</v>
      </c>
      <c r="V521" s="44" t="s">
        <v>4503</v>
      </c>
      <c r="W521" s="44" t="s">
        <v>4504</v>
      </c>
      <c r="X521" s="44" t="s">
        <v>1439</v>
      </c>
      <c r="Y521" s="44" t="s">
        <v>1429</v>
      </c>
      <c r="Z521" s="44" t="s">
        <v>1386</v>
      </c>
      <c r="AI521" s="44" t="s">
        <v>4505</v>
      </c>
      <c r="AK521" s="44" t="s">
        <v>837</v>
      </c>
    </row>
  </sheetData>
  <autoFilter ref="A1:AK1" xr:uid="{32A7C12C-F384-4F70-A8C0-9C5F96F16D0D}">
    <sortState xmlns:xlrd2="http://schemas.microsoft.com/office/spreadsheetml/2017/richdata2" ref="A2:AK521">
      <sortCondition descending="1" ref="N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B40DB-FCD1-410B-84A3-E1656733BCC2}">
  <dimension ref="A1:N114"/>
  <sheetViews>
    <sheetView zoomScale="85" zoomScaleNormal="85" workbookViewId="0">
      <pane xSplit="1" ySplit="3" topLeftCell="B4" activePane="bottomRight" state="frozen"/>
      <selection pane="topRight"/>
      <selection pane="bottomLeft"/>
      <selection pane="bottomRight" activeCell="K62" sqref="K62"/>
    </sheetView>
  </sheetViews>
  <sheetFormatPr defaultRowHeight="14.5"/>
  <cols>
    <col min="1" max="1" width="55.7265625" style="38" customWidth="1"/>
    <col min="2" max="2" width="28.54296875" style="38" customWidth="1"/>
    <col min="3" max="3" width="14.26953125" style="38" customWidth="1"/>
    <col min="4" max="4" width="18.26953125" style="20" customWidth="1"/>
    <col min="5" max="6" width="9.7265625" style="18" customWidth="1"/>
    <col min="7" max="7" width="13.453125" style="15" customWidth="1"/>
    <col min="8" max="8" width="14.54296875" style="34" customWidth="1"/>
    <col min="9" max="9" width="28.453125" style="16" customWidth="1"/>
    <col min="10" max="10" width="32" style="17" customWidth="1"/>
    <col min="11" max="11" width="13.81640625" style="18" customWidth="1"/>
    <col min="12" max="12" width="22.54296875" style="19" customWidth="1"/>
    <col min="13" max="13" width="13.7265625" style="18" customWidth="1"/>
    <col min="14" max="14" width="12.26953125" style="18" customWidth="1"/>
    <col min="15" max="16384" width="8.7265625" style="18"/>
  </cols>
  <sheetData>
    <row r="1" spans="1:14">
      <c r="A1" s="38" t="s">
        <v>1389</v>
      </c>
    </row>
    <row r="3" spans="1:14" s="5" customFormat="1" ht="58">
      <c r="A3" s="5" t="s">
        <v>0</v>
      </c>
      <c r="B3" s="5" t="s">
        <v>1193</v>
      </c>
      <c r="C3" s="5" t="s">
        <v>1194</v>
      </c>
      <c r="D3" s="6" t="s">
        <v>1195</v>
      </c>
      <c r="E3" s="5" t="s">
        <v>1196</v>
      </c>
      <c r="F3" s="5" t="s">
        <v>1197</v>
      </c>
      <c r="G3" s="7" t="s">
        <v>1198</v>
      </c>
      <c r="H3" s="8" t="s">
        <v>1199</v>
      </c>
      <c r="I3" s="9" t="s">
        <v>1200</v>
      </c>
      <c r="J3" s="9" t="s">
        <v>1201</v>
      </c>
      <c r="K3" s="5" t="s">
        <v>1202</v>
      </c>
      <c r="L3" s="10" t="s">
        <v>1203</v>
      </c>
      <c r="M3" s="5" t="s">
        <v>1204</v>
      </c>
      <c r="N3" s="5" t="s">
        <v>1205</v>
      </c>
    </row>
    <row r="4" spans="1:14" ht="29">
      <c r="A4" s="11" t="s">
        <v>306</v>
      </c>
      <c r="B4" s="11" t="s">
        <v>307</v>
      </c>
      <c r="C4" s="12" t="s">
        <v>1206</v>
      </c>
      <c r="D4" s="20" t="s">
        <v>1214</v>
      </c>
      <c r="E4" s="14" t="s">
        <v>1207</v>
      </c>
      <c r="F4" s="14" t="s">
        <v>1208</v>
      </c>
      <c r="G4" s="21" t="s">
        <v>1206</v>
      </c>
      <c r="H4" s="21" t="s">
        <v>1209</v>
      </c>
      <c r="I4" s="22" t="s">
        <v>1215</v>
      </c>
      <c r="J4" s="17" t="s">
        <v>1216</v>
      </c>
      <c r="L4" s="23" t="s">
        <v>1217</v>
      </c>
      <c r="M4" s="18" t="s">
        <v>1213</v>
      </c>
    </row>
    <row r="5" spans="1:14" ht="69" customHeight="1">
      <c r="A5" s="11" t="s">
        <v>356</v>
      </c>
      <c r="B5" s="11" t="s">
        <v>357</v>
      </c>
      <c r="C5" s="12" t="s">
        <v>1206</v>
      </c>
      <c r="D5" s="20" t="s">
        <v>1214</v>
      </c>
      <c r="E5" s="14" t="s">
        <v>1207</v>
      </c>
      <c r="F5" s="14" t="s">
        <v>1208</v>
      </c>
      <c r="G5" s="21" t="s">
        <v>1206</v>
      </c>
      <c r="H5" s="21" t="s">
        <v>1209</v>
      </c>
      <c r="I5" s="22" t="s">
        <v>1218</v>
      </c>
      <c r="J5" s="17" t="s">
        <v>1219</v>
      </c>
      <c r="L5" s="23" t="s">
        <v>1220</v>
      </c>
      <c r="M5" s="18" t="s">
        <v>1213</v>
      </c>
    </row>
    <row r="6" spans="1:14" ht="43.5">
      <c r="A6" s="11" t="s">
        <v>398</v>
      </c>
      <c r="B6" s="11" t="s">
        <v>399</v>
      </c>
      <c r="C6" s="12" t="s">
        <v>1206</v>
      </c>
      <c r="D6" s="24">
        <v>3000</v>
      </c>
      <c r="E6" s="14" t="s">
        <v>1207</v>
      </c>
      <c r="F6" s="14" t="s">
        <v>1208</v>
      </c>
      <c r="G6" s="21" t="s">
        <v>1206</v>
      </c>
      <c r="H6" s="21" t="s">
        <v>1209</v>
      </c>
      <c r="I6" s="22" t="s">
        <v>1221</v>
      </c>
      <c r="J6" s="17" t="s">
        <v>1222</v>
      </c>
      <c r="L6" s="19" t="s">
        <v>1212</v>
      </c>
      <c r="M6" s="18" t="s">
        <v>1213</v>
      </c>
      <c r="N6" s="18" t="s">
        <v>19</v>
      </c>
    </row>
    <row r="7" spans="1:14" ht="29">
      <c r="A7" s="11" t="s">
        <v>976</v>
      </c>
      <c r="B7" s="11" t="s">
        <v>977</v>
      </c>
      <c r="C7" s="12" t="s">
        <v>1206</v>
      </c>
      <c r="D7" s="20" t="s">
        <v>1214</v>
      </c>
      <c r="E7" s="14" t="s">
        <v>1207</v>
      </c>
      <c r="F7" s="14" t="s">
        <v>1208</v>
      </c>
      <c r="G7" s="15" t="s">
        <v>1206</v>
      </c>
      <c r="H7" s="21" t="s">
        <v>1209</v>
      </c>
      <c r="I7" s="16" t="s">
        <v>1218</v>
      </c>
      <c r="J7" s="17" t="s">
        <v>1223</v>
      </c>
      <c r="L7" s="19" t="s">
        <v>1224</v>
      </c>
      <c r="M7" s="18" t="s">
        <v>1213</v>
      </c>
    </row>
    <row r="8" spans="1:14">
      <c r="A8" s="11" t="s">
        <v>617</v>
      </c>
      <c r="B8" s="11" t="s">
        <v>618</v>
      </c>
      <c r="C8" s="12" t="s">
        <v>1206</v>
      </c>
      <c r="D8" s="25" t="s">
        <v>1214</v>
      </c>
      <c r="E8" s="14" t="s">
        <v>1207</v>
      </c>
      <c r="F8" s="14" t="s">
        <v>1208</v>
      </c>
      <c r="G8" s="21" t="s">
        <v>1206</v>
      </c>
      <c r="H8" s="21" t="s">
        <v>1209</v>
      </c>
      <c r="I8" s="22" t="s">
        <v>1225</v>
      </c>
      <c r="J8" s="17" t="s">
        <v>1226</v>
      </c>
      <c r="K8" s="18" t="s">
        <v>1320</v>
      </c>
      <c r="L8" s="23" t="s">
        <v>1227</v>
      </c>
      <c r="M8" s="18" t="s">
        <v>1213</v>
      </c>
    </row>
    <row r="9" spans="1:14">
      <c r="A9" s="11" t="s">
        <v>292</v>
      </c>
      <c r="B9" s="11" t="s">
        <v>293</v>
      </c>
      <c r="C9" s="12" t="s">
        <v>1206</v>
      </c>
      <c r="D9" s="25" t="s">
        <v>1214</v>
      </c>
      <c r="E9" s="14" t="s">
        <v>1207</v>
      </c>
      <c r="F9" s="14"/>
      <c r="G9" s="21" t="s">
        <v>1228</v>
      </c>
      <c r="H9" s="21" t="s">
        <v>1209</v>
      </c>
      <c r="I9" s="22"/>
      <c r="L9" s="23"/>
    </row>
    <row r="10" spans="1:14" ht="29">
      <c r="A10" s="11" t="s">
        <v>262</v>
      </c>
      <c r="B10" s="11" t="s">
        <v>263</v>
      </c>
      <c r="C10" s="12" t="s">
        <v>1206</v>
      </c>
      <c r="D10" s="20">
        <v>2000</v>
      </c>
      <c r="E10" s="14" t="s">
        <v>1207</v>
      </c>
      <c r="F10" s="14" t="s">
        <v>1229</v>
      </c>
      <c r="G10" s="21" t="s">
        <v>1206</v>
      </c>
      <c r="H10" s="21" t="s">
        <v>1209</v>
      </c>
      <c r="I10" s="22" t="s">
        <v>1388</v>
      </c>
      <c r="J10" s="17" t="s">
        <v>1230</v>
      </c>
      <c r="K10" s="18" t="s">
        <v>1320</v>
      </c>
      <c r="L10" s="23" t="s">
        <v>1231</v>
      </c>
      <c r="M10" s="18" t="s">
        <v>1213</v>
      </c>
      <c r="N10" s="18" t="s">
        <v>19</v>
      </c>
    </row>
    <row r="11" spans="1:14" ht="29">
      <c r="A11" s="11" t="s">
        <v>544</v>
      </c>
      <c r="B11" s="11" t="s">
        <v>545</v>
      </c>
      <c r="C11" s="12" t="s">
        <v>1206</v>
      </c>
      <c r="D11" s="13">
        <v>2000</v>
      </c>
      <c r="E11" s="14" t="s">
        <v>1207</v>
      </c>
      <c r="F11" s="14" t="s">
        <v>1208</v>
      </c>
      <c r="G11" s="15" t="s">
        <v>1206</v>
      </c>
      <c r="H11" s="15" t="s">
        <v>1209</v>
      </c>
      <c r="I11" s="16" t="s">
        <v>1232</v>
      </c>
      <c r="J11" s="17" t="s">
        <v>1233</v>
      </c>
      <c r="L11" s="23" t="s">
        <v>1234</v>
      </c>
      <c r="M11" s="18" t="s">
        <v>1213</v>
      </c>
      <c r="N11" s="18" t="s">
        <v>19</v>
      </c>
    </row>
    <row r="12" spans="1:14" ht="29">
      <c r="A12" s="11" t="s">
        <v>129</v>
      </c>
      <c r="B12" s="11" t="s">
        <v>130</v>
      </c>
      <c r="C12" s="12" t="s">
        <v>1206</v>
      </c>
      <c r="D12" s="20">
        <v>2500</v>
      </c>
      <c r="E12" s="14" t="s">
        <v>1207</v>
      </c>
      <c r="F12" s="14" t="s">
        <v>1207</v>
      </c>
      <c r="G12" s="21" t="s">
        <v>1206</v>
      </c>
      <c r="H12" s="21" t="s">
        <v>1209</v>
      </c>
      <c r="I12" s="22" t="s">
        <v>1221</v>
      </c>
      <c r="J12" s="17" t="s">
        <v>1235</v>
      </c>
      <c r="L12" s="23" t="s">
        <v>1236</v>
      </c>
      <c r="M12" s="18" t="s">
        <v>1213</v>
      </c>
      <c r="N12" s="18" t="s">
        <v>19</v>
      </c>
    </row>
    <row r="13" spans="1:14" ht="29">
      <c r="A13" s="11" t="s">
        <v>834</v>
      </c>
      <c r="B13" s="11" t="s">
        <v>835</v>
      </c>
      <c r="C13" s="12" t="s">
        <v>1206</v>
      </c>
      <c r="D13" s="13">
        <v>1200</v>
      </c>
      <c r="E13" s="14" t="s">
        <v>1207</v>
      </c>
      <c r="F13" s="14" t="s">
        <v>1208</v>
      </c>
      <c r="G13" s="15" t="s">
        <v>1206</v>
      </c>
      <c r="H13" s="15" t="s">
        <v>1209</v>
      </c>
      <c r="I13" s="16" t="s">
        <v>1237</v>
      </c>
      <c r="J13" s="17" t="s">
        <v>1238</v>
      </c>
      <c r="L13" s="23" t="s">
        <v>1239</v>
      </c>
      <c r="M13" s="18" t="s">
        <v>1213</v>
      </c>
    </row>
    <row r="14" spans="1:14" ht="29">
      <c r="A14" s="11" t="s">
        <v>1078</v>
      </c>
      <c r="B14" s="11" t="s">
        <v>1079</v>
      </c>
      <c r="C14" s="12" t="s">
        <v>1206</v>
      </c>
      <c r="D14" s="13">
        <v>1200</v>
      </c>
      <c r="E14" s="14" t="s">
        <v>1207</v>
      </c>
      <c r="F14" s="14" t="s">
        <v>1240</v>
      </c>
      <c r="G14" s="15" t="s">
        <v>1206</v>
      </c>
      <c r="H14" s="15" t="s">
        <v>1209</v>
      </c>
      <c r="I14" s="16" t="s">
        <v>1237</v>
      </c>
      <c r="J14" s="17" t="s">
        <v>1241</v>
      </c>
      <c r="L14" s="23" t="s">
        <v>1239</v>
      </c>
      <c r="M14" s="18" t="s">
        <v>1213</v>
      </c>
    </row>
    <row r="15" spans="1:14" ht="29">
      <c r="A15" s="11" t="s">
        <v>784</v>
      </c>
      <c r="B15" s="11" t="s">
        <v>785</v>
      </c>
      <c r="C15" s="12" t="s">
        <v>1206</v>
      </c>
      <c r="D15" s="25" t="s">
        <v>1214</v>
      </c>
      <c r="E15" s="14" t="s">
        <v>1207</v>
      </c>
      <c r="F15" s="14"/>
      <c r="G15" s="15" t="s">
        <v>1206</v>
      </c>
      <c r="H15" s="15" t="s">
        <v>1209</v>
      </c>
      <c r="I15" s="16" t="s">
        <v>1210</v>
      </c>
      <c r="J15" s="17" t="s">
        <v>1211</v>
      </c>
      <c r="L15" s="19" t="s">
        <v>1242</v>
      </c>
      <c r="M15" s="18" t="s">
        <v>1213</v>
      </c>
    </row>
    <row r="16" spans="1:14" ht="43.5">
      <c r="A16" s="11" t="s">
        <v>534</v>
      </c>
      <c r="B16" s="11" t="s">
        <v>535</v>
      </c>
      <c r="C16" s="12" t="s">
        <v>1206</v>
      </c>
      <c r="D16" s="20">
        <v>2500</v>
      </c>
      <c r="E16" s="14" t="s">
        <v>1207</v>
      </c>
      <c r="F16" s="14" t="s">
        <v>1208</v>
      </c>
      <c r="G16" s="21" t="s">
        <v>1206</v>
      </c>
      <c r="H16" s="21" t="s">
        <v>1209</v>
      </c>
      <c r="I16" s="22" t="s">
        <v>1244</v>
      </c>
      <c r="J16" s="17" t="s">
        <v>1245</v>
      </c>
      <c r="L16" s="23" t="s">
        <v>1243</v>
      </c>
      <c r="M16" s="18" t="s">
        <v>1213</v>
      </c>
    </row>
    <row r="17" spans="1:13" ht="29">
      <c r="A17" s="11" t="s">
        <v>802</v>
      </c>
      <c r="B17" s="11" t="s">
        <v>803</v>
      </c>
      <c r="C17" s="12" t="s">
        <v>1206</v>
      </c>
      <c r="D17" s="13">
        <v>1300</v>
      </c>
      <c r="E17" s="14" t="s">
        <v>1207</v>
      </c>
      <c r="F17" s="14" t="s">
        <v>1208</v>
      </c>
      <c r="G17" s="15" t="s">
        <v>1206</v>
      </c>
      <c r="H17" s="15" t="s">
        <v>1209</v>
      </c>
      <c r="I17" s="22" t="s">
        <v>1237</v>
      </c>
      <c r="J17" s="17" t="s">
        <v>1238</v>
      </c>
      <c r="L17" s="23" t="s">
        <v>1239</v>
      </c>
      <c r="M17" s="18" t="s">
        <v>1213</v>
      </c>
    </row>
    <row r="18" spans="1:13">
      <c r="A18" s="11" t="s">
        <v>746</v>
      </c>
      <c r="B18" s="11" t="s">
        <v>747</v>
      </c>
      <c r="C18" s="12" t="s">
        <v>1206</v>
      </c>
      <c r="D18" s="20" t="s">
        <v>1214</v>
      </c>
      <c r="E18" s="14" t="s">
        <v>1207</v>
      </c>
      <c r="F18" s="14" t="s">
        <v>1208</v>
      </c>
      <c r="G18" s="21" t="s">
        <v>1206</v>
      </c>
      <c r="H18" s="21" t="s">
        <v>1209</v>
      </c>
      <c r="I18" s="22" t="s">
        <v>1215</v>
      </c>
      <c r="J18" s="17" t="s">
        <v>1246</v>
      </c>
      <c r="L18" s="23" t="s">
        <v>1247</v>
      </c>
      <c r="M18" s="18" t="s">
        <v>1213</v>
      </c>
    </row>
    <row r="19" spans="1:13">
      <c r="A19" s="11" t="s">
        <v>658</v>
      </c>
      <c r="B19" s="11" t="s">
        <v>659</v>
      </c>
      <c r="C19" s="12" t="s">
        <v>1206</v>
      </c>
      <c r="D19" s="25" t="s">
        <v>1214</v>
      </c>
      <c r="E19" s="14" t="s">
        <v>1207</v>
      </c>
      <c r="F19" s="14" t="s">
        <v>1208</v>
      </c>
      <c r="G19" s="21" t="s">
        <v>1206</v>
      </c>
      <c r="H19" s="21" t="s">
        <v>1209</v>
      </c>
      <c r="I19" s="22" t="s">
        <v>1215</v>
      </c>
      <c r="J19" s="17" t="s">
        <v>1248</v>
      </c>
      <c r="L19" s="23" t="s">
        <v>1247</v>
      </c>
      <c r="M19" s="18" t="s">
        <v>1213</v>
      </c>
    </row>
    <row r="20" spans="1:13" ht="48" customHeight="1">
      <c r="A20" s="11" t="s">
        <v>435</v>
      </c>
      <c r="B20" s="11" t="s">
        <v>436</v>
      </c>
      <c r="C20" s="12" t="s">
        <v>1206</v>
      </c>
      <c r="D20" s="20">
        <v>4000</v>
      </c>
      <c r="E20" s="14" t="s">
        <v>1207</v>
      </c>
      <c r="F20" s="14" t="s">
        <v>1249</v>
      </c>
      <c r="G20" s="21" t="s">
        <v>1206</v>
      </c>
      <c r="H20" s="21" t="s">
        <v>1209</v>
      </c>
      <c r="I20" s="22" t="s">
        <v>1218</v>
      </c>
      <c r="J20" s="17" t="s">
        <v>1250</v>
      </c>
      <c r="L20" s="23" t="s">
        <v>1243</v>
      </c>
    </row>
    <row r="21" spans="1:13" ht="29">
      <c r="A21" s="11" t="s">
        <v>920</v>
      </c>
      <c r="B21" s="11" t="s">
        <v>921</v>
      </c>
      <c r="C21" s="12" t="s">
        <v>1206</v>
      </c>
      <c r="D21" s="26"/>
      <c r="E21" s="14" t="s">
        <v>1207</v>
      </c>
      <c r="F21" s="14"/>
      <c r="G21" s="21" t="s">
        <v>1228</v>
      </c>
      <c r="H21" s="15" t="s">
        <v>1251</v>
      </c>
      <c r="I21" s="16" t="s">
        <v>1210</v>
      </c>
      <c r="J21" s="27" t="s">
        <v>1252</v>
      </c>
      <c r="L21" s="19" t="s">
        <v>1253</v>
      </c>
    </row>
    <row r="22" spans="1:13" ht="29">
      <c r="A22" s="11" t="s">
        <v>284</v>
      </c>
      <c r="B22" s="11" t="s">
        <v>285</v>
      </c>
      <c r="C22" s="12" t="s">
        <v>1206</v>
      </c>
      <c r="E22" s="14" t="s">
        <v>1207</v>
      </c>
      <c r="F22" s="14" t="s">
        <v>1249</v>
      </c>
      <c r="G22" s="21" t="s">
        <v>1206</v>
      </c>
      <c r="H22" s="21" t="s">
        <v>1251</v>
      </c>
      <c r="I22" s="22" t="s">
        <v>1210</v>
      </c>
      <c r="J22" s="17" t="s">
        <v>1254</v>
      </c>
      <c r="L22" s="19" t="s">
        <v>1255</v>
      </c>
    </row>
    <row r="23" spans="1:13" ht="29">
      <c r="A23" s="11" t="s">
        <v>193</v>
      </c>
      <c r="B23" s="11" t="s">
        <v>194</v>
      </c>
      <c r="C23" s="12" t="s">
        <v>1206</v>
      </c>
      <c r="E23" s="14" t="s">
        <v>1207</v>
      </c>
      <c r="F23" s="14" t="s">
        <v>1207</v>
      </c>
      <c r="G23" s="15" t="s">
        <v>1228</v>
      </c>
      <c r="H23" s="21" t="s">
        <v>1251</v>
      </c>
      <c r="I23" s="22" t="s">
        <v>1237</v>
      </c>
      <c r="J23" s="17" t="s">
        <v>1256</v>
      </c>
      <c r="L23" s="23" t="s">
        <v>1257</v>
      </c>
    </row>
    <row r="24" spans="1:13" ht="43.5">
      <c r="A24" s="11" t="s">
        <v>302</v>
      </c>
      <c r="B24" s="11" t="s">
        <v>303</v>
      </c>
      <c r="C24" s="12" t="s">
        <v>1206</v>
      </c>
      <c r="E24" s="14" t="s">
        <v>1207</v>
      </c>
      <c r="F24" s="14" t="s">
        <v>1207</v>
      </c>
      <c r="G24" s="15" t="s">
        <v>1258</v>
      </c>
      <c r="H24" s="15" t="s">
        <v>1251</v>
      </c>
      <c r="I24" s="16" t="s">
        <v>1259</v>
      </c>
      <c r="J24" s="27" t="s">
        <v>1260</v>
      </c>
      <c r="L24" s="19" t="s">
        <v>1261</v>
      </c>
    </row>
    <row r="25" spans="1:13" ht="43.5">
      <c r="A25" s="11" t="s">
        <v>863</v>
      </c>
      <c r="B25" s="11" t="s">
        <v>864</v>
      </c>
      <c r="C25" s="12" t="s">
        <v>1206</v>
      </c>
      <c r="D25" s="13"/>
      <c r="E25" s="14" t="s">
        <v>1207</v>
      </c>
      <c r="F25" s="14" t="s">
        <v>1207</v>
      </c>
      <c r="G25" s="21" t="s">
        <v>1228</v>
      </c>
      <c r="H25" s="15" t="s">
        <v>1251</v>
      </c>
      <c r="I25" s="16" t="s">
        <v>1237</v>
      </c>
      <c r="J25" s="27" t="s">
        <v>1262</v>
      </c>
      <c r="L25" s="23" t="s">
        <v>1263</v>
      </c>
    </row>
    <row r="26" spans="1:13" ht="29">
      <c r="A26" s="11" t="s">
        <v>508</v>
      </c>
      <c r="B26" s="11" t="s">
        <v>509</v>
      </c>
      <c r="C26" s="12" t="s">
        <v>1206</v>
      </c>
      <c r="D26" s="13"/>
      <c r="E26" s="14" t="s">
        <v>1207</v>
      </c>
      <c r="F26" s="14" t="s">
        <v>1207</v>
      </c>
      <c r="G26" s="28" t="s">
        <v>1228</v>
      </c>
      <c r="H26" s="15" t="s">
        <v>1251</v>
      </c>
      <c r="I26" s="16" t="s">
        <v>1259</v>
      </c>
      <c r="J26" s="17" t="s">
        <v>1264</v>
      </c>
      <c r="L26" s="19" t="s">
        <v>1265</v>
      </c>
    </row>
    <row r="27" spans="1:13" ht="72.5">
      <c r="A27" s="11" t="s">
        <v>276</v>
      </c>
      <c r="B27" s="11" t="s">
        <v>277</v>
      </c>
      <c r="C27" s="12" t="s">
        <v>1206</v>
      </c>
      <c r="E27" s="14" t="s">
        <v>1207</v>
      </c>
      <c r="F27" s="14" t="s">
        <v>1207</v>
      </c>
      <c r="G27" s="21" t="s">
        <v>1206</v>
      </c>
      <c r="H27" s="21" t="s">
        <v>1251</v>
      </c>
      <c r="I27" s="16" t="s">
        <v>1259</v>
      </c>
      <c r="J27" s="17" t="s">
        <v>1266</v>
      </c>
      <c r="L27" s="23" t="s">
        <v>1239</v>
      </c>
    </row>
    <row r="28" spans="1:13" ht="29">
      <c r="A28" s="11" t="s">
        <v>227</v>
      </c>
      <c r="B28" s="11" t="s">
        <v>228</v>
      </c>
      <c r="C28" s="12" t="s">
        <v>1206</v>
      </c>
      <c r="D28" s="13"/>
      <c r="E28" s="14" t="s">
        <v>1207</v>
      </c>
      <c r="F28" s="14" t="s">
        <v>1267</v>
      </c>
      <c r="G28" s="21" t="s">
        <v>1206</v>
      </c>
      <c r="H28" s="29" t="s">
        <v>1251</v>
      </c>
      <c r="I28" s="22" t="s">
        <v>1268</v>
      </c>
      <c r="J28" s="17" t="s">
        <v>1269</v>
      </c>
      <c r="L28" s="19" t="s">
        <v>1227</v>
      </c>
    </row>
    <row r="29" spans="1:13" ht="58">
      <c r="A29" s="11" t="s">
        <v>236</v>
      </c>
      <c r="B29" s="11" t="s">
        <v>237</v>
      </c>
      <c r="C29" s="12" t="s">
        <v>1206</v>
      </c>
      <c r="E29" s="14" t="s">
        <v>1207</v>
      </c>
      <c r="F29" s="14" t="s">
        <v>1207</v>
      </c>
      <c r="G29" s="21" t="s">
        <v>1228</v>
      </c>
      <c r="H29" s="15" t="s">
        <v>1251</v>
      </c>
      <c r="I29" s="22" t="s">
        <v>1270</v>
      </c>
      <c r="J29" s="17" t="s">
        <v>1271</v>
      </c>
      <c r="K29" s="18" t="s">
        <v>1320</v>
      </c>
      <c r="L29" s="23" t="s">
        <v>1243</v>
      </c>
    </row>
    <row r="30" spans="1:13" ht="29">
      <c r="A30" s="11" t="s">
        <v>1066</v>
      </c>
      <c r="B30" s="11" t="s">
        <v>1067</v>
      </c>
      <c r="C30" s="12" t="s">
        <v>1206</v>
      </c>
      <c r="D30" s="13"/>
      <c r="E30" s="14" t="s">
        <v>1207</v>
      </c>
      <c r="F30" s="14" t="s">
        <v>1208</v>
      </c>
      <c r="G30" s="15" t="s">
        <v>1206</v>
      </c>
      <c r="H30" s="15" t="s">
        <v>1251</v>
      </c>
      <c r="I30" s="16" t="s">
        <v>1237</v>
      </c>
      <c r="J30" s="17" t="s">
        <v>1272</v>
      </c>
      <c r="L30" s="19" t="s">
        <v>1273</v>
      </c>
    </row>
    <row r="31" spans="1:13">
      <c r="A31" s="11" t="s">
        <v>1005</v>
      </c>
      <c r="B31" s="11" t="s">
        <v>1006</v>
      </c>
      <c r="C31" s="12" t="s">
        <v>1206</v>
      </c>
      <c r="D31" s="13"/>
      <c r="E31" s="14" t="s">
        <v>1207</v>
      </c>
      <c r="F31" s="14" t="s">
        <v>1274</v>
      </c>
      <c r="G31" s="15" t="s">
        <v>1228</v>
      </c>
      <c r="H31" s="15" t="s">
        <v>1251</v>
      </c>
      <c r="I31" s="16" t="s">
        <v>1259</v>
      </c>
      <c r="J31" s="17" t="s">
        <v>1275</v>
      </c>
      <c r="L31" s="19" t="s">
        <v>1276</v>
      </c>
    </row>
    <row r="32" spans="1:13" ht="29">
      <c r="A32" s="11" t="s">
        <v>504</v>
      </c>
      <c r="B32" s="11" t="s">
        <v>505</v>
      </c>
      <c r="C32" s="12" t="s">
        <v>1206</v>
      </c>
      <c r="D32" s="13"/>
      <c r="E32" s="14" t="s">
        <v>1207</v>
      </c>
      <c r="F32" s="14" t="s">
        <v>1207</v>
      </c>
      <c r="G32" s="21" t="s">
        <v>1228</v>
      </c>
      <c r="H32" s="15" t="s">
        <v>1251</v>
      </c>
      <c r="I32" s="16" t="s">
        <v>1218</v>
      </c>
      <c r="J32" s="27" t="s">
        <v>1277</v>
      </c>
      <c r="L32" s="23" t="s">
        <v>1243</v>
      </c>
    </row>
    <row r="33" spans="1:14" ht="29">
      <c r="A33" s="11" t="s">
        <v>844</v>
      </c>
      <c r="B33" s="11" t="s">
        <v>845</v>
      </c>
      <c r="C33" s="12" t="s">
        <v>1228</v>
      </c>
      <c r="D33" s="13"/>
      <c r="E33" s="14" t="s">
        <v>1207</v>
      </c>
      <c r="F33" s="14" t="s">
        <v>1208</v>
      </c>
      <c r="G33" s="15" t="s">
        <v>1228</v>
      </c>
      <c r="H33" s="15" t="s">
        <v>1251</v>
      </c>
      <c r="I33" s="22" t="s">
        <v>1218</v>
      </c>
      <c r="J33" s="17" t="s">
        <v>1278</v>
      </c>
      <c r="L33" s="19" t="s">
        <v>1279</v>
      </c>
    </row>
    <row r="34" spans="1:14">
      <c r="A34" s="11" t="s">
        <v>1007</v>
      </c>
      <c r="B34" s="11" t="s">
        <v>1008</v>
      </c>
      <c r="C34" s="12" t="s">
        <v>1206</v>
      </c>
      <c r="D34" s="13"/>
      <c r="E34" s="14" t="s">
        <v>1207</v>
      </c>
      <c r="F34" s="14"/>
      <c r="G34" s="21" t="s">
        <v>1228</v>
      </c>
      <c r="H34" s="15" t="s">
        <v>1251</v>
      </c>
      <c r="I34" s="16" t="s">
        <v>1259</v>
      </c>
      <c r="J34" s="27" t="s">
        <v>1280</v>
      </c>
      <c r="L34" s="19" t="s">
        <v>1281</v>
      </c>
    </row>
    <row r="35" spans="1:14">
      <c r="A35" s="11" t="s">
        <v>476</v>
      </c>
      <c r="B35" s="11" t="s">
        <v>477</v>
      </c>
      <c r="C35" s="12" t="s">
        <v>1228</v>
      </c>
      <c r="D35" s="13"/>
      <c r="E35" s="14" t="s">
        <v>1207</v>
      </c>
      <c r="F35" s="14"/>
      <c r="G35" s="15" t="s">
        <v>1228</v>
      </c>
      <c r="H35" s="15" t="s">
        <v>1251</v>
      </c>
      <c r="I35" s="22" t="s">
        <v>1225</v>
      </c>
      <c r="J35" s="17" t="s">
        <v>1282</v>
      </c>
      <c r="K35" s="18" t="s">
        <v>1320</v>
      </c>
      <c r="L35" s="19" t="s">
        <v>1243</v>
      </c>
    </row>
    <row r="36" spans="1:14">
      <c r="A36" s="11" t="s">
        <v>996</v>
      </c>
      <c r="B36" s="11" t="s">
        <v>997</v>
      </c>
      <c r="C36" s="12"/>
      <c r="D36" s="13"/>
      <c r="E36" s="14" t="s">
        <v>1207</v>
      </c>
      <c r="F36" s="14"/>
      <c r="G36" s="21" t="s">
        <v>1228</v>
      </c>
      <c r="H36" s="15" t="s">
        <v>1251</v>
      </c>
      <c r="I36" s="16" t="s">
        <v>1259</v>
      </c>
      <c r="J36" s="17" t="s">
        <v>1283</v>
      </c>
      <c r="L36" s="19" t="s">
        <v>1284</v>
      </c>
    </row>
    <row r="37" spans="1:14" ht="29">
      <c r="A37" s="11" t="s">
        <v>576</v>
      </c>
      <c r="B37" s="11" t="s">
        <v>577</v>
      </c>
      <c r="C37" s="12" t="s">
        <v>1206</v>
      </c>
      <c r="D37" s="13"/>
      <c r="E37" s="14" t="s">
        <v>1207</v>
      </c>
      <c r="F37" s="14" t="s">
        <v>1207</v>
      </c>
      <c r="G37" s="21" t="s">
        <v>1228</v>
      </c>
      <c r="H37" s="15" t="s">
        <v>1251</v>
      </c>
      <c r="I37" s="22" t="s">
        <v>1237</v>
      </c>
      <c r="J37" s="17" t="s">
        <v>1285</v>
      </c>
      <c r="L37" s="19" t="s">
        <v>1286</v>
      </c>
    </row>
    <row r="38" spans="1:14" ht="29">
      <c r="A38" s="11" t="s">
        <v>869</v>
      </c>
      <c r="B38" s="11" t="s">
        <v>870</v>
      </c>
      <c r="C38" s="12"/>
      <c r="D38" s="30"/>
      <c r="E38" s="14" t="s">
        <v>1207</v>
      </c>
      <c r="F38" s="14"/>
      <c r="G38" s="21" t="s">
        <v>1228</v>
      </c>
      <c r="H38" s="15" t="s">
        <v>1251</v>
      </c>
      <c r="I38" s="16" t="s">
        <v>1237</v>
      </c>
      <c r="J38" s="17" t="s">
        <v>1287</v>
      </c>
      <c r="L38" s="19" t="s">
        <v>1288</v>
      </c>
    </row>
    <row r="39" spans="1:14" ht="29">
      <c r="A39" s="11" t="s">
        <v>566</v>
      </c>
      <c r="B39" s="11" t="s">
        <v>567</v>
      </c>
      <c r="C39" s="12" t="s">
        <v>1206</v>
      </c>
      <c r="D39" s="13">
        <v>3000</v>
      </c>
      <c r="E39" s="14" t="s">
        <v>1207</v>
      </c>
      <c r="F39" s="14" t="s">
        <v>1249</v>
      </c>
      <c r="G39" s="15" t="s">
        <v>1206</v>
      </c>
      <c r="H39" s="15" t="s">
        <v>1251</v>
      </c>
      <c r="I39" s="16" t="s">
        <v>1221</v>
      </c>
      <c r="J39" s="17" t="s">
        <v>1290</v>
      </c>
      <c r="L39" s="23" t="s">
        <v>1291</v>
      </c>
    </row>
    <row r="40" spans="1:14" ht="29">
      <c r="A40" s="11" t="s">
        <v>495</v>
      </c>
      <c r="B40" s="11" t="s">
        <v>496</v>
      </c>
      <c r="C40" s="12" t="s">
        <v>1206</v>
      </c>
      <c r="E40" s="14" t="s">
        <v>1207</v>
      </c>
      <c r="F40" s="14"/>
      <c r="G40" s="15" t="s">
        <v>1228</v>
      </c>
      <c r="H40" s="15" t="s">
        <v>1251</v>
      </c>
      <c r="I40" s="22" t="s">
        <v>1218</v>
      </c>
      <c r="J40" s="18" t="s">
        <v>1292</v>
      </c>
      <c r="L40" s="31" t="s">
        <v>1293</v>
      </c>
      <c r="N40" s="32"/>
    </row>
    <row r="41" spans="1:14" ht="29">
      <c r="A41" s="11" t="s">
        <v>782</v>
      </c>
      <c r="B41" s="11" t="s">
        <v>783</v>
      </c>
      <c r="C41" s="12" t="s">
        <v>1206</v>
      </c>
      <c r="D41" s="13"/>
      <c r="E41" s="14" t="s">
        <v>1207</v>
      </c>
      <c r="F41" s="14" t="s">
        <v>1207</v>
      </c>
      <c r="G41" s="15" t="s">
        <v>1228</v>
      </c>
      <c r="H41" s="15" t="s">
        <v>1251</v>
      </c>
      <c r="I41" s="16" t="s">
        <v>1232</v>
      </c>
      <c r="J41" s="17" t="s">
        <v>1294</v>
      </c>
      <c r="L41" s="23" t="s">
        <v>1295</v>
      </c>
    </row>
    <row r="42" spans="1:14" ht="29">
      <c r="A42" s="11" t="s">
        <v>1160</v>
      </c>
      <c r="B42" s="11" t="s">
        <v>1161</v>
      </c>
      <c r="C42" s="12"/>
      <c r="D42" s="13"/>
      <c r="E42" s="14" t="s">
        <v>1207</v>
      </c>
      <c r="F42" s="14"/>
      <c r="G42" s="21" t="s">
        <v>1228</v>
      </c>
      <c r="H42" s="15" t="s">
        <v>1251</v>
      </c>
      <c r="I42" s="16" t="s">
        <v>1259</v>
      </c>
      <c r="J42" s="17" t="s">
        <v>1296</v>
      </c>
      <c r="L42" s="19" t="s">
        <v>1297</v>
      </c>
    </row>
    <row r="43" spans="1:14" ht="29">
      <c r="A43" s="11" t="s">
        <v>286</v>
      </c>
      <c r="B43" s="11" t="s">
        <v>287</v>
      </c>
      <c r="C43" s="12" t="s">
        <v>1206</v>
      </c>
      <c r="D43" s="13"/>
      <c r="E43" s="14" t="s">
        <v>1207</v>
      </c>
      <c r="F43" s="14" t="s">
        <v>1207</v>
      </c>
      <c r="G43" s="15" t="s">
        <v>1228</v>
      </c>
      <c r="H43" s="15" t="s">
        <v>1298</v>
      </c>
      <c r="I43" s="22" t="s">
        <v>1210</v>
      </c>
      <c r="J43" s="27" t="s">
        <v>1211</v>
      </c>
      <c r="K43" s="32"/>
      <c r="L43" s="19" t="s">
        <v>1299</v>
      </c>
      <c r="N43" s="32"/>
    </row>
    <row r="44" spans="1:14">
      <c r="A44" s="11" t="s">
        <v>456</v>
      </c>
      <c r="B44" s="11" t="s">
        <v>457</v>
      </c>
      <c r="C44" s="12" t="s">
        <v>1206</v>
      </c>
      <c r="E44" s="14" t="s">
        <v>1207</v>
      </c>
      <c r="F44" s="14" t="s">
        <v>1207</v>
      </c>
      <c r="G44" s="15" t="s">
        <v>1228</v>
      </c>
      <c r="H44" s="15" t="s">
        <v>1298</v>
      </c>
      <c r="I44" s="16" t="s">
        <v>1300</v>
      </c>
      <c r="J44" s="18" t="s">
        <v>1301</v>
      </c>
      <c r="L44" s="33" t="s">
        <v>1302</v>
      </c>
    </row>
    <row r="45" spans="1:14" ht="29">
      <c r="A45" s="11" t="s">
        <v>764</v>
      </c>
      <c r="B45" s="11" t="s">
        <v>765</v>
      </c>
      <c r="C45" s="12" t="s">
        <v>1206</v>
      </c>
      <c r="D45" s="13"/>
      <c r="E45" s="14" t="s">
        <v>1207</v>
      </c>
      <c r="F45" s="14" t="s">
        <v>1208</v>
      </c>
      <c r="G45" s="15" t="s">
        <v>1228</v>
      </c>
      <c r="H45" s="15" t="s">
        <v>1298</v>
      </c>
      <c r="I45" s="16" t="s">
        <v>1210</v>
      </c>
      <c r="J45" s="17" t="s">
        <v>1303</v>
      </c>
      <c r="L45" s="19" t="s">
        <v>1304</v>
      </c>
    </row>
    <row r="46" spans="1:14" ht="58">
      <c r="A46" s="11" t="s">
        <v>958</v>
      </c>
      <c r="B46" s="11" t="s">
        <v>959</v>
      </c>
      <c r="C46" s="12" t="s">
        <v>1206</v>
      </c>
      <c r="D46" s="13"/>
      <c r="E46" s="14" t="s">
        <v>1207</v>
      </c>
      <c r="F46" s="14"/>
      <c r="G46" s="15" t="s">
        <v>1228</v>
      </c>
      <c r="H46" s="34" t="s">
        <v>1298</v>
      </c>
      <c r="I46" s="16" t="s">
        <v>1268</v>
      </c>
      <c r="J46" s="17" t="s">
        <v>1305</v>
      </c>
      <c r="L46" s="19" t="s">
        <v>1289</v>
      </c>
    </row>
    <row r="47" spans="1:14" ht="43.5">
      <c r="A47" s="11" t="s">
        <v>607</v>
      </c>
      <c r="B47" s="11" t="s">
        <v>608</v>
      </c>
      <c r="C47" s="12" t="s">
        <v>1206</v>
      </c>
      <c r="D47" s="13"/>
      <c r="E47" s="14" t="s">
        <v>1207</v>
      </c>
      <c r="F47" s="14" t="s">
        <v>1207</v>
      </c>
      <c r="G47" s="21" t="s">
        <v>1206</v>
      </c>
      <c r="H47" s="35" t="s">
        <v>1298</v>
      </c>
      <c r="I47" s="16" t="s">
        <v>1300</v>
      </c>
      <c r="J47" s="17" t="s">
        <v>1306</v>
      </c>
      <c r="L47" s="19" t="s">
        <v>1307</v>
      </c>
    </row>
    <row r="48" spans="1:14">
      <c r="A48" s="11" t="s">
        <v>970</v>
      </c>
      <c r="B48" s="11" t="s">
        <v>971</v>
      </c>
      <c r="C48" s="12"/>
      <c r="D48" s="13"/>
      <c r="E48" s="14" t="s">
        <v>1207</v>
      </c>
      <c r="F48" s="14"/>
      <c r="G48" s="12" t="s">
        <v>1228</v>
      </c>
      <c r="H48" s="12" t="s">
        <v>1298</v>
      </c>
      <c r="I48" s="16" t="s">
        <v>1300</v>
      </c>
      <c r="J48" s="36" t="s">
        <v>1308</v>
      </c>
      <c r="K48" s="14"/>
      <c r="L48" s="19" t="s">
        <v>1309</v>
      </c>
      <c r="N48" s="14"/>
    </row>
    <row r="49" spans="1:12" ht="29">
      <c r="A49" s="11" t="s">
        <v>798</v>
      </c>
      <c r="B49" s="11" t="s">
        <v>799</v>
      </c>
      <c r="C49" s="12" t="s">
        <v>1206</v>
      </c>
      <c r="D49" s="13"/>
      <c r="E49" s="14" t="s">
        <v>1207</v>
      </c>
      <c r="F49" s="14"/>
      <c r="G49" s="21" t="s">
        <v>1228</v>
      </c>
      <c r="H49" s="15" t="s">
        <v>1298</v>
      </c>
      <c r="I49" s="16" t="s">
        <v>1210</v>
      </c>
      <c r="J49" s="17" t="s">
        <v>1310</v>
      </c>
      <c r="L49" s="19" t="s">
        <v>1311</v>
      </c>
    </row>
    <row r="50" spans="1:12" ht="29">
      <c r="A50" s="11" t="s">
        <v>800</v>
      </c>
      <c r="B50" s="11" t="s">
        <v>801</v>
      </c>
      <c r="C50" s="12"/>
      <c r="D50" s="13">
        <v>3500</v>
      </c>
      <c r="E50" s="14" t="s">
        <v>1207</v>
      </c>
      <c r="F50" s="14"/>
      <c r="G50" s="21" t="s">
        <v>1228</v>
      </c>
      <c r="H50" s="15" t="s">
        <v>1298</v>
      </c>
      <c r="I50" s="16" t="s">
        <v>1225</v>
      </c>
      <c r="J50" s="17" t="s">
        <v>1312</v>
      </c>
      <c r="K50" s="18" t="s">
        <v>1320</v>
      </c>
      <c r="L50" s="19" t="s">
        <v>1313</v>
      </c>
    </row>
    <row r="51" spans="1:12" ht="29">
      <c r="A51" s="11" t="s">
        <v>572</v>
      </c>
      <c r="B51" s="11" t="s">
        <v>573</v>
      </c>
      <c r="C51" s="12" t="s">
        <v>1206</v>
      </c>
      <c r="D51" s="20">
        <v>2500</v>
      </c>
      <c r="E51" s="14" t="s">
        <v>1207</v>
      </c>
      <c r="F51" s="14" t="s">
        <v>1314</v>
      </c>
      <c r="G51" s="21" t="s">
        <v>1206</v>
      </c>
      <c r="H51" s="21" t="s">
        <v>1298</v>
      </c>
      <c r="I51" s="22" t="s">
        <v>1225</v>
      </c>
      <c r="J51" s="17" t="s">
        <v>1315</v>
      </c>
      <c r="K51" s="18" t="s">
        <v>1320</v>
      </c>
      <c r="L51" s="23" t="s">
        <v>1236</v>
      </c>
    </row>
    <row r="52" spans="1:12" ht="29">
      <c r="A52" s="11" t="s">
        <v>412</v>
      </c>
      <c r="B52" s="11" t="s">
        <v>413</v>
      </c>
      <c r="C52" s="12"/>
      <c r="D52" s="13"/>
      <c r="E52" s="14" t="s">
        <v>1207</v>
      </c>
      <c r="F52" s="14"/>
      <c r="G52" s="21" t="s">
        <v>1228</v>
      </c>
      <c r="H52" s="15" t="s">
        <v>1298</v>
      </c>
      <c r="I52" s="16" t="s">
        <v>1210</v>
      </c>
      <c r="J52" s="17" t="s">
        <v>1316</v>
      </c>
      <c r="L52" s="19" t="s">
        <v>1317</v>
      </c>
    </row>
    <row r="53" spans="1:12" ht="101.5">
      <c r="A53" s="11" t="s">
        <v>1108</v>
      </c>
      <c r="B53" s="11" t="s">
        <v>1109</v>
      </c>
      <c r="C53" s="12" t="s">
        <v>1206</v>
      </c>
      <c r="D53" s="13"/>
      <c r="E53" s="14" t="s">
        <v>1207</v>
      </c>
      <c r="F53" s="14"/>
      <c r="G53" s="15" t="s">
        <v>1228</v>
      </c>
      <c r="H53" s="34" t="s">
        <v>1298</v>
      </c>
      <c r="I53" s="16" t="s">
        <v>1268</v>
      </c>
      <c r="J53" s="27" t="s">
        <v>1318</v>
      </c>
      <c r="L53" s="19" t="s">
        <v>1289</v>
      </c>
    </row>
    <row r="54" spans="1:12" ht="29">
      <c r="A54" s="11" t="s">
        <v>1126</v>
      </c>
      <c r="B54" s="11" t="s">
        <v>1127</v>
      </c>
      <c r="C54" s="12" t="s">
        <v>1228</v>
      </c>
      <c r="D54" s="13"/>
      <c r="E54" s="14" t="s">
        <v>1207</v>
      </c>
      <c r="F54" s="32" t="s">
        <v>1207</v>
      </c>
      <c r="G54" s="15" t="s">
        <v>1228</v>
      </c>
      <c r="H54" s="21" t="s">
        <v>1298</v>
      </c>
      <c r="I54" s="16" t="s">
        <v>1210</v>
      </c>
      <c r="J54" s="17" t="s">
        <v>1316</v>
      </c>
      <c r="L54" s="19" t="s">
        <v>1319</v>
      </c>
    </row>
    <row r="55" spans="1:12">
      <c r="A55" s="11" t="s">
        <v>345</v>
      </c>
      <c r="B55" s="11" t="s">
        <v>346</v>
      </c>
      <c r="C55" s="12" t="s">
        <v>1206</v>
      </c>
      <c r="D55" s="13"/>
      <c r="E55" s="14" t="s">
        <v>1207</v>
      </c>
      <c r="F55" s="14" t="s">
        <v>1208</v>
      </c>
      <c r="G55" s="21" t="s">
        <v>1228</v>
      </c>
      <c r="H55" s="15" t="s">
        <v>1298</v>
      </c>
      <c r="I55" s="16" t="s">
        <v>1300</v>
      </c>
      <c r="J55" s="17" t="s">
        <v>1322</v>
      </c>
      <c r="L55" s="19" t="s">
        <v>1323</v>
      </c>
    </row>
    <row r="56" spans="1:12">
      <c r="A56" s="11" t="s">
        <v>886</v>
      </c>
      <c r="B56" s="11" t="s">
        <v>887</v>
      </c>
      <c r="C56" s="12" t="s">
        <v>1206</v>
      </c>
      <c r="D56" s="13"/>
      <c r="E56" s="14" t="s">
        <v>1207</v>
      </c>
      <c r="F56" s="14" t="s">
        <v>1207</v>
      </c>
      <c r="G56" s="21" t="s">
        <v>1228</v>
      </c>
      <c r="H56" s="15" t="s">
        <v>1298</v>
      </c>
      <c r="I56" s="16" t="s">
        <v>1300</v>
      </c>
      <c r="J56" s="17" t="s">
        <v>1324</v>
      </c>
      <c r="L56" s="19" t="s">
        <v>1325</v>
      </c>
    </row>
    <row r="57" spans="1:12">
      <c r="A57" s="11" t="s">
        <v>1168</v>
      </c>
      <c r="B57" s="11" t="s">
        <v>1169</v>
      </c>
      <c r="C57" s="12" t="s">
        <v>1206</v>
      </c>
      <c r="D57" s="13"/>
      <c r="E57" s="14" t="s">
        <v>1207</v>
      </c>
      <c r="F57" s="14"/>
      <c r="G57" s="21" t="s">
        <v>1228</v>
      </c>
      <c r="H57" s="15" t="s">
        <v>1298</v>
      </c>
      <c r="I57" s="16" t="s">
        <v>1225</v>
      </c>
      <c r="J57" s="17" t="s">
        <v>1326</v>
      </c>
      <c r="K57" s="18" t="s">
        <v>1320</v>
      </c>
      <c r="L57" s="19" t="s">
        <v>1327</v>
      </c>
    </row>
    <row r="58" spans="1:12" ht="29">
      <c r="A58" s="11" t="s">
        <v>1176</v>
      </c>
      <c r="B58" s="11" t="s">
        <v>1177</v>
      </c>
      <c r="C58" s="12"/>
      <c r="D58" s="13"/>
      <c r="E58" s="14" t="s">
        <v>1207</v>
      </c>
      <c r="F58" s="14"/>
      <c r="G58" s="21" t="s">
        <v>1228</v>
      </c>
      <c r="H58" s="15" t="s">
        <v>1298</v>
      </c>
      <c r="I58" s="16" t="s">
        <v>1210</v>
      </c>
      <c r="J58" s="17" t="s">
        <v>1310</v>
      </c>
      <c r="L58" s="19" t="s">
        <v>1328</v>
      </c>
    </row>
    <row r="59" spans="1:12">
      <c r="A59" s="11" t="s">
        <v>1188</v>
      </c>
      <c r="B59" s="11" t="s">
        <v>1189</v>
      </c>
      <c r="C59" s="12" t="s">
        <v>1206</v>
      </c>
      <c r="D59" s="13"/>
      <c r="E59" s="14" t="s">
        <v>1207</v>
      </c>
      <c r="F59" s="14"/>
      <c r="G59" s="21" t="s">
        <v>1228</v>
      </c>
      <c r="H59" s="15" t="s">
        <v>1298</v>
      </c>
      <c r="I59" s="16" t="s">
        <v>1300</v>
      </c>
      <c r="J59" s="27" t="s">
        <v>1329</v>
      </c>
      <c r="L59" s="19" t="s">
        <v>1289</v>
      </c>
    </row>
    <row r="60" spans="1:12" ht="58">
      <c r="A60" s="11" t="s">
        <v>902</v>
      </c>
      <c r="B60" s="11" t="s">
        <v>903</v>
      </c>
      <c r="C60" s="12" t="s">
        <v>1206</v>
      </c>
      <c r="D60" s="13"/>
      <c r="E60" s="14" t="s">
        <v>1207</v>
      </c>
      <c r="F60" s="14" t="s">
        <v>1207</v>
      </c>
      <c r="G60" s="21" t="s">
        <v>1228</v>
      </c>
      <c r="H60" s="15" t="s">
        <v>1298</v>
      </c>
      <c r="I60" s="16" t="s">
        <v>1259</v>
      </c>
      <c r="J60" s="17" t="s">
        <v>1330</v>
      </c>
      <c r="L60" s="19" t="s">
        <v>1331</v>
      </c>
    </row>
    <row r="61" spans="1:12" ht="43.5">
      <c r="A61" s="11" t="s">
        <v>141</v>
      </c>
      <c r="B61" s="11" t="s">
        <v>142</v>
      </c>
      <c r="C61" s="11"/>
      <c r="E61" s="14" t="s">
        <v>1207</v>
      </c>
      <c r="F61" s="14"/>
      <c r="G61" s="21" t="s">
        <v>1228</v>
      </c>
      <c r="H61" s="29" t="s">
        <v>1298</v>
      </c>
      <c r="I61" s="16" t="s">
        <v>1237</v>
      </c>
      <c r="J61" s="17" t="s">
        <v>1332</v>
      </c>
      <c r="K61" s="18" t="s">
        <v>1320</v>
      </c>
      <c r="L61" s="18" t="s">
        <v>1333</v>
      </c>
    </row>
    <row r="62" spans="1:12" ht="29">
      <c r="A62" s="11" t="s">
        <v>855</v>
      </c>
      <c r="B62" s="11" t="s">
        <v>856</v>
      </c>
      <c r="C62" s="12" t="s">
        <v>1206</v>
      </c>
      <c r="E62" s="14" t="s">
        <v>1207</v>
      </c>
      <c r="F62" s="14"/>
      <c r="G62" s="21" t="s">
        <v>1228</v>
      </c>
      <c r="H62" s="34" t="s">
        <v>1298</v>
      </c>
      <c r="I62" s="16" t="s">
        <v>1225</v>
      </c>
      <c r="J62" s="17" t="s">
        <v>1334</v>
      </c>
      <c r="K62" s="18" t="s">
        <v>1320</v>
      </c>
      <c r="L62" s="18" t="s">
        <v>1335</v>
      </c>
    </row>
    <row r="63" spans="1:12">
      <c r="A63" s="11" t="s">
        <v>298</v>
      </c>
      <c r="B63" s="11" t="s">
        <v>299</v>
      </c>
      <c r="C63" s="11"/>
      <c r="E63" s="14" t="s">
        <v>1207</v>
      </c>
      <c r="F63" s="14"/>
      <c r="G63" s="21" t="s">
        <v>1228</v>
      </c>
      <c r="H63" s="29" t="s">
        <v>1298</v>
      </c>
      <c r="I63" s="16" t="s">
        <v>1225</v>
      </c>
      <c r="J63" s="17" t="s">
        <v>1336</v>
      </c>
      <c r="K63" s="18" t="s">
        <v>1320</v>
      </c>
      <c r="L63" s="18" t="s">
        <v>1337</v>
      </c>
    </row>
    <row r="64" spans="1:12">
      <c r="A64" s="11" t="s">
        <v>625</v>
      </c>
      <c r="B64" s="11" t="s">
        <v>626</v>
      </c>
      <c r="C64" s="11"/>
      <c r="D64" s="13"/>
      <c r="E64" s="14" t="s">
        <v>1207</v>
      </c>
      <c r="F64" s="14"/>
      <c r="G64" s="21" t="s">
        <v>1228</v>
      </c>
      <c r="H64" s="34" t="s">
        <v>1298</v>
      </c>
      <c r="I64" s="22" t="s">
        <v>1225</v>
      </c>
      <c r="J64" s="17" t="s">
        <v>1338</v>
      </c>
      <c r="K64" s="18" t="s">
        <v>1320</v>
      </c>
      <c r="L64" s="18" t="s">
        <v>1339</v>
      </c>
    </row>
    <row r="65" spans="1:12" ht="41.15" customHeight="1">
      <c r="A65" s="11" t="s">
        <v>478</v>
      </c>
      <c r="B65" s="11" t="s">
        <v>479</v>
      </c>
      <c r="C65" s="11"/>
      <c r="D65" s="13"/>
      <c r="E65" s="14" t="s">
        <v>1207</v>
      </c>
      <c r="F65" s="14"/>
      <c r="G65" s="21" t="s">
        <v>1228</v>
      </c>
      <c r="H65" s="29" t="s">
        <v>1298</v>
      </c>
      <c r="I65" s="22" t="s">
        <v>1225</v>
      </c>
      <c r="J65" s="17" t="s">
        <v>1340</v>
      </c>
      <c r="K65" s="18" t="s">
        <v>1320</v>
      </c>
      <c r="L65" s="18" t="s">
        <v>1341</v>
      </c>
    </row>
    <row r="66" spans="1:12" ht="29">
      <c r="A66" s="11" t="s">
        <v>149</v>
      </c>
      <c r="B66" s="11" t="s">
        <v>150</v>
      </c>
      <c r="C66" s="11"/>
      <c r="D66" s="13"/>
      <c r="E66" s="14" t="s">
        <v>1207</v>
      </c>
      <c r="F66" s="14"/>
      <c r="G66" s="21" t="s">
        <v>1228</v>
      </c>
      <c r="H66" s="29" t="s">
        <v>1298</v>
      </c>
      <c r="I66" s="22" t="s">
        <v>1225</v>
      </c>
      <c r="J66" s="17" t="s">
        <v>1342</v>
      </c>
      <c r="K66" s="18" t="s">
        <v>1320</v>
      </c>
      <c r="L66" s="18" t="s">
        <v>1343</v>
      </c>
    </row>
    <row r="67" spans="1:12" ht="43.5">
      <c r="A67" s="11" t="s">
        <v>1116</v>
      </c>
      <c r="B67" s="11" t="s">
        <v>1117</v>
      </c>
      <c r="C67" s="11"/>
      <c r="D67" s="13"/>
      <c r="E67" s="14" t="s">
        <v>1207</v>
      </c>
      <c r="F67" s="14"/>
      <c r="G67" s="21" t="s">
        <v>1228</v>
      </c>
      <c r="H67" s="29" t="s">
        <v>1298</v>
      </c>
      <c r="I67" s="16" t="s">
        <v>1225</v>
      </c>
      <c r="J67" s="17" t="s">
        <v>1344</v>
      </c>
      <c r="K67" s="18" t="s">
        <v>1320</v>
      </c>
      <c r="L67" s="18" t="s">
        <v>1345</v>
      </c>
    </row>
    <row r="68" spans="1:12">
      <c r="A68" s="11" t="s">
        <v>822</v>
      </c>
      <c r="B68" s="11" t="s">
        <v>823</v>
      </c>
      <c r="C68" s="11"/>
      <c r="D68" s="13"/>
      <c r="E68" s="14" t="s">
        <v>1207</v>
      </c>
      <c r="F68" s="14"/>
      <c r="G68" s="21" t="s">
        <v>1228</v>
      </c>
      <c r="H68" s="29" t="s">
        <v>1298</v>
      </c>
      <c r="I68" s="16" t="s">
        <v>1225</v>
      </c>
      <c r="J68" s="17" t="s">
        <v>1346</v>
      </c>
      <c r="K68" s="18" t="s">
        <v>1320</v>
      </c>
      <c r="L68" s="18" t="s">
        <v>1347</v>
      </c>
    </row>
    <row r="69" spans="1:12" ht="44.65" customHeight="1">
      <c r="A69" s="11" t="s">
        <v>590</v>
      </c>
      <c r="B69" s="11" t="s">
        <v>591</v>
      </c>
      <c r="C69" s="11"/>
      <c r="D69" s="13"/>
      <c r="E69" s="14" t="s">
        <v>1207</v>
      </c>
      <c r="F69" s="14"/>
      <c r="G69" s="21" t="s">
        <v>1228</v>
      </c>
      <c r="H69" s="29" t="s">
        <v>1298</v>
      </c>
      <c r="I69" s="16" t="s">
        <v>1225</v>
      </c>
      <c r="J69" s="17" t="s">
        <v>1348</v>
      </c>
      <c r="K69" s="18" t="s">
        <v>1320</v>
      </c>
      <c r="L69" s="18" t="s">
        <v>1349</v>
      </c>
    </row>
    <row r="70" spans="1:12">
      <c r="A70" s="11" t="s">
        <v>1019</v>
      </c>
      <c r="B70" s="11" t="s">
        <v>1020</v>
      </c>
      <c r="C70" s="11"/>
      <c r="D70" s="13"/>
      <c r="E70" s="14" t="s">
        <v>1207</v>
      </c>
      <c r="F70" s="14"/>
      <c r="G70" s="21" t="s">
        <v>1228</v>
      </c>
      <c r="H70" s="29" t="s">
        <v>1298</v>
      </c>
      <c r="I70" s="16" t="s">
        <v>1225</v>
      </c>
      <c r="J70" s="17" t="s">
        <v>1350</v>
      </c>
      <c r="K70" s="18" t="s">
        <v>1320</v>
      </c>
      <c r="L70" s="18" t="s">
        <v>1351</v>
      </c>
    </row>
    <row r="71" spans="1:12">
      <c r="A71" s="11" t="s">
        <v>1130</v>
      </c>
      <c r="B71" s="11" t="s">
        <v>1131</v>
      </c>
      <c r="C71" s="11"/>
      <c r="D71" s="13"/>
      <c r="E71" s="14" t="s">
        <v>1207</v>
      </c>
      <c r="F71" s="14"/>
      <c r="G71" s="21" t="s">
        <v>1228</v>
      </c>
      <c r="H71" s="29" t="s">
        <v>1298</v>
      </c>
      <c r="I71" s="16" t="s">
        <v>1225</v>
      </c>
      <c r="J71" s="17" t="s">
        <v>1340</v>
      </c>
      <c r="K71" s="18" t="s">
        <v>1320</v>
      </c>
      <c r="L71" s="18" t="s">
        <v>1351</v>
      </c>
    </row>
    <row r="72" spans="1:12" ht="27.65" customHeight="1">
      <c r="A72" s="11" t="s">
        <v>386</v>
      </c>
      <c r="B72" s="11" t="s">
        <v>387</v>
      </c>
      <c r="C72" s="11"/>
      <c r="D72" s="13"/>
      <c r="E72" s="14" t="s">
        <v>1207</v>
      </c>
      <c r="F72" s="14"/>
      <c r="G72" s="21" t="s">
        <v>1228</v>
      </c>
      <c r="H72" s="29" t="s">
        <v>1298</v>
      </c>
      <c r="I72" s="16" t="s">
        <v>1225</v>
      </c>
      <c r="J72" s="36" t="s">
        <v>1350</v>
      </c>
      <c r="K72" s="18" t="s">
        <v>1320</v>
      </c>
      <c r="L72" s="18" t="s">
        <v>1352</v>
      </c>
    </row>
    <row r="73" spans="1:12">
      <c r="A73" s="11" t="s">
        <v>1122</v>
      </c>
      <c r="B73" s="11" t="s">
        <v>1123</v>
      </c>
      <c r="C73" s="12"/>
      <c r="D73" s="13"/>
      <c r="E73" s="14" t="s">
        <v>1207</v>
      </c>
      <c r="F73" s="14"/>
      <c r="G73" s="21" t="s">
        <v>1228</v>
      </c>
      <c r="H73" s="34" t="s">
        <v>1298</v>
      </c>
      <c r="I73" s="22" t="s">
        <v>1353</v>
      </c>
      <c r="J73" s="36" t="s">
        <v>1354</v>
      </c>
      <c r="K73" s="32" t="s">
        <v>1320</v>
      </c>
      <c r="L73" s="18" t="s">
        <v>1355</v>
      </c>
    </row>
    <row r="74" spans="1:12" ht="29">
      <c r="A74" s="11" t="s">
        <v>1152</v>
      </c>
      <c r="B74" s="11" t="s">
        <v>1153</v>
      </c>
      <c r="C74" s="11"/>
      <c r="D74" s="13"/>
      <c r="E74" s="14" t="s">
        <v>1207</v>
      </c>
      <c r="F74" s="14"/>
      <c r="G74" s="21" t="s">
        <v>1228</v>
      </c>
      <c r="H74" s="29" t="s">
        <v>1298</v>
      </c>
      <c r="I74" s="16" t="s">
        <v>1225</v>
      </c>
      <c r="J74" s="17" t="s">
        <v>1356</v>
      </c>
      <c r="K74" s="18" t="s">
        <v>1320</v>
      </c>
      <c r="L74" s="18" t="s">
        <v>1323</v>
      </c>
    </row>
    <row r="75" spans="1:12">
      <c r="A75" s="37" t="s">
        <v>392</v>
      </c>
      <c r="B75" s="11" t="s">
        <v>393</v>
      </c>
      <c r="C75" s="12"/>
      <c r="D75" s="13"/>
      <c r="E75" s="14" t="s">
        <v>1207</v>
      </c>
      <c r="F75" s="14"/>
      <c r="G75" s="21" t="s">
        <v>1228</v>
      </c>
      <c r="H75" s="29" t="s">
        <v>1298</v>
      </c>
      <c r="I75" s="16" t="s">
        <v>1225</v>
      </c>
      <c r="K75" s="18" t="s">
        <v>1320</v>
      </c>
      <c r="L75" s="18" t="s">
        <v>1357</v>
      </c>
    </row>
    <row r="76" spans="1:12">
      <c r="A76" s="11" t="s">
        <v>1162</v>
      </c>
      <c r="B76" s="11" t="s">
        <v>1163</v>
      </c>
      <c r="C76" s="12"/>
      <c r="D76" s="13"/>
      <c r="E76" s="14" t="s">
        <v>1207</v>
      </c>
      <c r="F76" s="14"/>
      <c r="G76" s="21" t="s">
        <v>1228</v>
      </c>
      <c r="H76" s="29" t="s">
        <v>1298</v>
      </c>
      <c r="I76" s="16" t="s">
        <v>1225</v>
      </c>
      <c r="J76" s="17" t="s">
        <v>1358</v>
      </c>
      <c r="K76" s="32" t="s">
        <v>1320</v>
      </c>
      <c r="L76" s="18" t="s">
        <v>1359</v>
      </c>
    </row>
    <row r="77" spans="1:12">
      <c r="A77" s="11" t="s">
        <v>1074</v>
      </c>
      <c r="B77" s="11" t="s">
        <v>1075</v>
      </c>
      <c r="C77" s="12"/>
      <c r="D77" s="13"/>
      <c r="E77" s="14" t="s">
        <v>1207</v>
      </c>
      <c r="F77" s="14"/>
      <c r="G77" s="21" t="s">
        <v>1228</v>
      </c>
      <c r="H77" s="29" t="s">
        <v>1298</v>
      </c>
      <c r="I77" s="16" t="s">
        <v>1225</v>
      </c>
      <c r="J77" s="17" t="s">
        <v>1360</v>
      </c>
      <c r="K77" s="32" t="s">
        <v>1320</v>
      </c>
      <c r="L77" s="18" t="s">
        <v>1361</v>
      </c>
    </row>
    <row r="78" spans="1:12">
      <c r="A78" s="11" t="s">
        <v>853</v>
      </c>
      <c r="B78" s="11" t="s">
        <v>854</v>
      </c>
      <c r="C78" s="11"/>
      <c r="D78" s="13"/>
      <c r="E78" s="14" t="s">
        <v>1207</v>
      </c>
      <c r="F78" s="14"/>
      <c r="G78" s="21" t="s">
        <v>1228</v>
      </c>
      <c r="H78" s="29" t="s">
        <v>1298</v>
      </c>
      <c r="I78" s="16" t="s">
        <v>1225</v>
      </c>
      <c r="J78" s="17" t="s">
        <v>1362</v>
      </c>
      <c r="K78" s="18" t="s">
        <v>1320</v>
      </c>
      <c r="L78" s="18" t="s">
        <v>1351</v>
      </c>
    </row>
    <row r="79" spans="1:12" ht="35.15" customHeight="1">
      <c r="A79" s="11" t="s">
        <v>647</v>
      </c>
      <c r="B79" s="11" t="s">
        <v>648</v>
      </c>
      <c r="C79" s="11"/>
      <c r="E79" s="14" t="s">
        <v>1207</v>
      </c>
      <c r="F79" s="14"/>
      <c r="G79" s="21" t="s">
        <v>1228</v>
      </c>
      <c r="H79" s="29" t="s">
        <v>1298</v>
      </c>
      <c r="I79" s="16" t="s">
        <v>1225</v>
      </c>
      <c r="K79" s="18" t="s">
        <v>1320</v>
      </c>
      <c r="L79" s="18" t="s">
        <v>1363</v>
      </c>
    </row>
    <row r="80" spans="1:12">
      <c r="A80" s="11" t="s">
        <v>650</v>
      </c>
      <c r="B80" s="11" t="s">
        <v>651</v>
      </c>
      <c r="C80" s="11"/>
      <c r="D80" s="13"/>
      <c r="E80" s="14" t="s">
        <v>1207</v>
      </c>
      <c r="F80" s="14"/>
      <c r="G80" s="21" t="s">
        <v>1228</v>
      </c>
      <c r="H80" s="29" t="s">
        <v>1298</v>
      </c>
      <c r="I80" s="16" t="s">
        <v>1225</v>
      </c>
      <c r="J80" s="17" t="s">
        <v>1364</v>
      </c>
      <c r="K80" s="18" t="s">
        <v>1320</v>
      </c>
      <c r="L80" s="18" t="s">
        <v>1365</v>
      </c>
    </row>
    <row r="81" spans="1:12">
      <c r="A81" s="11" t="s">
        <v>627</v>
      </c>
      <c r="B81" s="11" t="s">
        <v>628</v>
      </c>
      <c r="C81" s="11"/>
      <c r="D81" s="13"/>
      <c r="E81" s="14" t="s">
        <v>1207</v>
      </c>
      <c r="F81" s="14"/>
      <c r="G81" s="21" t="s">
        <v>1228</v>
      </c>
      <c r="H81" s="29" t="s">
        <v>1298</v>
      </c>
      <c r="I81" s="16" t="s">
        <v>1225</v>
      </c>
      <c r="J81" s="17" t="s">
        <v>1366</v>
      </c>
      <c r="K81" s="18" t="s">
        <v>1320</v>
      </c>
      <c r="L81" s="18" t="s">
        <v>1367</v>
      </c>
    </row>
    <row r="82" spans="1:12">
      <c r="A82" s="11" t="s">
        <v>810</v>
      </c>
      <c r="B82" s="11" t="s">
        <v>811</v>
      </c>
      <c r="C82" s="11"/>
      <c r="D82" s="13"/>
      <c r="E82" s="14" t="s">
        <v>1207</v>
      </c>
      <c r="F82" s="14"/>
      <c r="G82" s="21" t="s">
        <v>1228</v>
      </c>
      <c r="H82" s="29" t="s">
        <v>1298</v>
      </c>
      <c r="I82" s="16" t="s">
        <v>1225</v>
      </c>
      <c r="J82" s="17" t="s">
        <v>1368</v>
      </c>
      <c r="K82" s="18" t="s">
        <v>1320</v>
      </c>
      <c r="L82" s="18" t="s">
        <v>1319</v>
      </c>
    </row>
    <row r="83" spans="1:12">
      <c r="A83" s="11" t="s">
        <v>1142</v>
      </c>
      <c r="B83" s="11" t="s">
        <v>1143</v>
      </c>
      <c r="C83" s="11"/>
      <c r="D83" s="13"/>
      <c r="E83" s="14" t="s">
        <v>1207</v>
      </c>
      <c r="F83" s="14"/>
      <c r="G83" s="21" t="s">
        <v>1228</v>
      </c>
      <c r="H83" s="29" t="s">
        <v>1298</v>
      </c>
      <c r="I83" s="16" t="s">
        <v>1225</v>
      </c>
      <c r="K83" s="18" t="s">
        <v>1320</v>
      </c>
      <c r="L83" s="18" t="s">
        <v>1369</v>
      </c>
    </row>
    <row r="84" spans="1:12">
      <c r="A84" s="11" t="s">
        <v>742</v>
      </c>
      <c r="B84" s="11" t="s">
        <v>743</v>
      </c>
      <c r="C84" s="11"/>
      <c r="D84" s="13"/>
      <c r="E84" s="14" t="s">
        <v>1207</v>
      </c>
      <c r="F84" s="14"/>
      <c r="G84" s="21" t="s">
        <v>1228</v>
      </c>
      <c r="H84" s="29" t="s">
        <v>1298</v>
      </c>
      <c r="I84" s="16" t="s">
        <v>1225</v>
      </c>
      <c r="J84" s="17" t="s">
        <v>1370</v>
      </c>
      <c r="K84" s="18" t="s">
        <v>1320</v>
      </c>
      <c r="L84" s="18" t="s">
        <v>1371</v>
      </c>
    </row>
    <row r="85" spans="1:12" ht="29">
      <c r="A85" s="11" t="s">
        <v>892</v>
      </c>
      <c r="B85" s="11" t="s">
        <v>893</v>
      </c>
      <c r="C85" s="11"/>
      <c r="D85" s="13"/>
      <c r="E85" s="14" t="s">
        <v>1207</v>
      </c>
      <c r="F85" s="14"/>
      <c r="G85" s="21" t="s">
        <v>1228</v>
      </c>
      <c r="H85" s="29" t="s">
        <v>1298</v>
      </c>
      <c r="I85" s="16" t="s">
        <v>1225</v>
      </c>
      <c r="J85" s="17" t="s">
        <v>1372</v>
      </c>
      <c r="K85" s="18" t="s">
        <v>1320</v>
      </c>
      <c r="L85" s="18" t="s">
        <v>1373</v>
      </c>
    </row>
    <row r="86" spans="1:12">
      <c r="A86" s="11" t="s">
        <v>780</v>
      </c>
      <c r="B86" s="11" t="s">
        <v>781</v>
      </c>
      <c r="C86" s="11"/>
      <c r="D86" s="13"/>
      <c r="E86" s="14" t="s">
        <v>1207</v>
      </c>
      <c r="F86" s="14"/>
      <c r="G86" s="21" t="s">
        <v>1228</v>
      </c>
      <c r="H86" s="29" t="s">
        <v>1298</v>
      </c>
      <c r="I86" s="16" t="s">
        <v>1225</v>
      </c>
      <c r="J86" s="17" t="s">
        <v>1370</v>
      </c>
      <c r="K86" s="18" t="s">
        <v>1320</v>
      </c>
      <c r="L86" s="18" t="s">
        <v>1374</v>
      </c>
    </row>
    <row r="87" spans="1:12">
      <c r="A87" s="11" t="s">
        <v>1124</v>
      </c>
      <c r="B87" s="11" t="s">
        <v>1125</v>
      </c>
      <c r="C87" s="11"/>
      <c r="D87" s="26"/>
      <c r="E87" s="14" t="s">
        <v>1207</v>
      </c>
      <c r="F87" s="14"/>
      <c r="G87" s="21" t="s">
        <v>1228</v>
      </c>
      <c r="H87" s="29" t="s">
        <v>1298</v>
      </c>
      <c r="I87" s="16" t="s">
        <v>1225</v>
      </c>
      <c r="J87" s="17" t="s">
        <v>1375</v>
      </c>
      <c r="K87" s="18" t="s">
        <v>1320</v>
      </c>
      <c r="L87" s="18" t="s">
        <v>1321</v>
      </c>
    </row>
    <row r="88" spans="1:12">
      <c r="A88" s="11" t="s">
        <v>875</v>
      </c>
      <c r="B88" s="11" t="s">
        <v>876</v>
      </c>
      <c r="C88" s="11"/>
      <c r="D88" s="13"/>
      <c r="E88" s="14" t="s">
        <v>1207</v>
      </c>
      <c r="F88" s="14"/>
      <c r="G88" s="21" t="s">
        <v>1228</v>
      </c>
      <c r="H88" s="29" t="s">
        <v>1298</v>
      </c>
      <c r="I88" s="16" t="s">
        <v>1225</v>
      </c>
      <c r="J88" s="17" t="s">
        <v>1376</v>
      </c>
      <c r="K88" s="18" t="s">
        <v>1320</v>
      </c>
      <c r="L88" s="18" t="s">
        <v>1289</v>
      </c>
    </row>
    <row r="89" spans="1:12">
      <c r="A89" s="11" t="s">
        <v>824</v>
      </c>
      <c r="B89" s="11" t="s">
        <v>825</v>
      </c>
      <c r="C89" s="11"/>
      <c r="E89" s="14" t="s">
        <v>1207</v>
      </c>
      <c r="F89" s="14"/>
      <c r="G89" s="21" t="s">
        <v>1228</v>
      </c>
      <c r="H89" s="29" t="s">
        <v>1298</v>
      </c>
      <c r="I89" s="16" t="s">
        <v>1225</v>
      </c>
      <c r="K89" s="18" t="s">
        <v>1320</v>
      </c>
      <c r="L89" s="18" t="s">
        <v>1377</v>
      </c>
    </row>
    <row r="90" spans="1:12">
      <c r="A90" s="11" t="s">
        <v>1027</v>
      </c>
      <c r="B90" s="11" t="s">
        <v>1028</v>
      </c>
      <c r="C90" s="11"/>
      <c r="D90" s="13"/>
      <c r="E90" s="14" t="s">
        <v>1207</v>
      </c>
      <c r="F90" s="14"/>
      <c r="G90" s="21" t="s">
        <v>1228</v>
      </c>
      <c r="H90" s="29" t="s">
        <v>1298</v>
      </c>
      <c r="I90" s="16" t="s">
        <v>1225</v>
      </c>
      <c r="J90" s="17" t="s">
        <v>1378</v>
      </c>
      <c r="K90" s="18" t="s">
        <v>1320</v>
      </c>
      <c r="L90" s="18" t="s">
        <v>1379</v>
      </c>
    </row>
    <row r="91" spans="1:12">
      <c r="A91" s="11" t="s">
        <v>1090</v>
      </c>
      <c r="B91" s="11" t="s">
        <v>1091</v>
      </c>
      <c r="C91" s="11"/>
      <c r="D91" s="30"/>
      <c r="E91" s="14" t="s">
        <v>1207</v>
      </c>
      <c r="F91" s="14"/>
      <c r="G91" s="21" t="s">
        <v>1228</v>
      </c>
      <c r="H91" s="29" t="s">
        <v>1298</v>
      </c>
      <c r="I91" s="16" t="s">
        <v>1225</v>
      </c>
      <c r="J91" s="17" t="s">
        <v>1378</v>
      </c>
      <c r="K91" s="18" t="s">
        <v>1320</v>
      </c>
      <c r="L91" s="18" t="s">
        <v>1380</v>
      </c>
    </row>
    <row r="92" spans="1:12">
      <c r="A92" s="11" t="s">
        <v>914</v>
      </c>
      <c r="B92" s="11" t="s">
        <v>915</v>
      </c>
      <c r="C92" s="11"/>
      <c r="D92" s="13"/>
      <c r="E92" s="14" t="s">
        <v>1207</v>
      </c>
      <c r="F92" s="14"/>
      <c r="G92" s="21" t="s">
        <v>1228</v>
      </c>
      <c r="H92" s="29" t="s">
        <v>1298</v>
      </c>
      <c r="I92" s="16" t="s">
        <v>1225</v>
      </c>
      <c r="J92" s="17" t="s">
        <v>1375</v>
      </c>
      <c r="K92" s="18" t="s">
        <v>1320</v>
      </c>
      <c r="L92" s="18" t="s">
        <v>1381</v>
      </c>
    </row>
    <row r="93" spans="1:12">
      <c r="A93" s="11" t="s">
        <v>1158</v>
      </c>
      <c r="B93" s="11" t="s">
        <v>1159</v>
      </c>
      <c r="C93" s="11"/>
      <c r="D93" s="13"/>
      <c r="E93" s="14" t="s">
        <v>1207</v>
      </c>
      <c r="F93" s="14"/>
      <c r="G93" s="21" t="s">
        <v>1228</v>
      </c>
      <c r="H93" s="29" t="s">
        <v>1298</v>
      </c>
      <c r="I93" s="16" t="s">
        <v>1225</v>
      </c>
      <c r="J93" s="17" t="s">
        <v>1382</v>
      </c>
      <c r="K93" s="18" t="s">
        <v>1320</v>
      </c>
      <c r="L93" s="18" t="s">
        <v>1383</v>
      </c>
    </row>
    <row r="94" spans="1:12">
      <c r="A94" s="11" t="s">
        <v>1172</v>
      </c>
      <c r="B94" s="11" t="s">
        <v>1173</v>
      </c>
      <c r="C94" s="11"/>
      <c r="D94" s="13"/>
      <c r="E94" s="14" t="s">
        <v>1207</v>
      </c>
      <c r="F94" s="14"/>
      <c r="G94" s="21" t="s">
        <v>1228</v>
      </c>
      <c r="H94" s="29" t="s">
        <v>1298</v>
      </c>
      <c r="I94" s="16" t="s">
        <v>1225</v>
      </c>
      <c r="K94" s="18" t="s">
        <v>1320</v>
      </c>
      <c r="L94" s="18" t="s">
        <v>1384</v>
      </c>
    </row>
    <row r="95" spans="1:12">
      <c r="A95" s="11" t="s">
        <v>1029</v>
      </c>
      <c r="B95" s="11" t="s">
        <v>1030</v>
      </c>
      <c r="C95" s="11"/>
      <c r="D95" s="13"/>
      <c r="E95" s="14" t="s">
        <v>1207</v>
      </c>
      <c r="F95" s="14"/>
      <c r="G95" s="21" t="s">
        <v>1228</v>
      </c>
      <c r="H95" s="29" t="s">
        <v>1298</v>
      </c>
      <c r="I95" s="16" t="s">
        <v>1225</v>
      </c>
      <c r="K95" s="18" t="s">
        <v>1320</v>
      </c>
      <c r="L95" s="18" t="s">
        <v>1349</v>
      </c>
    </row>
    <row r="96" spans="1:12">
      <c r="A96" s="11" t="s">
        <v>918</v>
      </c>
      <c r="B96" s="11" t="s">
        <v>919</v>
      </c>
      <c r="C96" s="11"/>
      <c r="D96" s="13"/>
      <c r="E96" s="14" t="s">
        <v>1207</v>
      </c>
      <c r="F96" s="14"/>
      <c r="G96" s="21" t="s">
        <v>1228</v>
      </c>
      <c r="H96" s="29" t="s">
        <v>1298</v>
      </c>
      <c r="I96" s="16" t="s">
        <v>1225</v>
      </c>
      <c r="J96" s="17" t="s">
        <v>1370</v>
      </c>
      <c r="K96" s="18" t="s">
        <v>1320</v>
      </c>
      <c r="L96" s="18" t="s">
        <v>1319</v>
      </c>
    </row>
    <row r="97" spans="1:14">
      <c r="A97" s="11" t="s">
        <v>1072</v>
      </c>
      <c r="B97" s="11" t="s">
        <v>1073</v>
      </c>
      <c r="C97" s="11"/>
      <c r="D97" s="13"/>
      <c r="E97" s="14" t="s">
        <v>1207</v>
      </c>
      <c r="F97" s="14"/>
      <c r="G97" s="21" t="s">
        <v>1228</v>
      </c>
      <c r="H97" s="29" t="s">
        <v>1298</v>
      </c>
      <c r="I97" s="16" t="s">
        <v>1225</v>
      </c>
      <c r="J97" s="17" t="s">
        <v>1382</v>
      </c>
      <c r="K97" s="18" t="s">
        <v>1320</v>
      </c>
      <c r="L97" s="18" t="s">
        <v>1385</v>
      </c>
    </row>
    <row r="98" spans="1:14">
      <c r="A98" s="11" t="s">
        <v>1128</v>
      </c>
      <c r="B98" s="11" t="s">
        <v>1129</v>
      </c>
      <c r="C98" s="11"/>
      <c r="D98" s="13"/>
      <c r="E98" s="14" t="s">
        <v>1207</v>
      </c>
      <c r="F98" s="14"/>
      <c r="G98" s="21" t="s">
        <v>1228</v>
      </c>
      <c r="H98" s="29" t="s">
        <v>1298</v>
      </c>
      <c r="I98" s="16" t="s">
        <v>1225</v>
      </c>
      <c r="J98" s="17" t="s">
        <v>1370</v>
      </c>
      <c r="K98" s="18" t="s">
        <v>1320</v>
      </c>
      <c r="L98" s="18" t="s">
        <v>1385</v>
      </c>
    </row>
    <row r="102" spans="1:14" s="34" customFormat="1">
      <c r="A102" s="39"/>
      <c r="B102" s="39"/>
      <c r="C102" s="39"/>
      <c r="D102" s="20"/>
      <c r="E102" s="18"/>
      <c r="F102" s="18"/>
      <c r="G102" s="15"/>
      <c r="I102" s="16"/>
      <c r="J102" s="17"/>
      <c r="K102" s="18"/>
      <c r="L102" s="19"/>
      <c r="M102" s="18"/>
      <c r="N102" s="18"/>
    </row>
    <row r="103" spans="1:14" s="34" customFormat="1">
      <c r="A103" s="39" t="s">
        <v>1387</v>
      </c>
      <c r="B103" s="39"/>
      <c r="C103" s="39"/>
      <c r="D103" s="20"/>
      <c r="E103" s="18"/>
      <c r="F103" s="18"/>
      <c r="G103" s="15"/>
      <c r="I103" s="16"/>
      <c r="J103" s="17"/>
      <c r="K103" s="18"/>
      <c r="L103" s="19"/>
      <c r="M103" s="18"/>
      <c r="N103" s="18"/>
    </row>
    <row r="114" spans="1:14" s="40" customFormat="1">
      <c r="A114" s="38"/>
      <c r="B114" s="38"/>
      <c r="C114" s="38"/>
      <c r="D114" s="20"/>
      <c r="E114" s="18"/>
      <c r="F114" s="18"/>
      <c r="G114" s="15"/>
      <c r="H114" s="34"/>
      <c r="I114" s="16"/>
      <c r="J114" s="17"/>
      <c r="K114" s="18"/>
      <c r="L114" s="19"/>
      <c r="M114" s="18"/>
      <c r="N114" s="18"/>
    </row>
  </sheetData>
  <autoFilter ref="A3:N98" xr:uid="{F4628ABE-735F-492E-806C-2CD83799CD9F}">
    <sortState xmlns:xlrd2="http://schemas.microsoft.com/office/spreadsheetml/2017/richdata2" ref="A4:N98">
      <sortCondition ref="E3:E98"/>
    </sortState>
  </autoFilter>
  <pageMargins left="0.7" right="0.7" top="0.75" bottom="0.75" header="0.3" footer="0.3"/>
  <pageSetup paperSize="9"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BE09426AEA40BD0BCAC7A3C7E372" ma:contentTypeVersion="15" ma:contentTypeDescription="Create a new document." ma:contentTypeScope="" ma:versionID="a26adfe1141876290aa54cf64e0ab44d">
  <xsd:schema xmlns:xsd="http://www.w3.org/2001/XMLSchema" xmlns:xs="http://www.w3.org/2001/XMLSchema" xmlns:p="http://schemas.microsoft.com/office/2006/metadata/properties" xmlns:ns2="2a7b5e2b-c2f9-474d-9192-0b310873e5b3" xmlns:ns3="ee270db6-0975-4165-a89c-c52053db8f6c" targetNamespace="http://schemas.microsoft.com/office/2006/metadata/properties" ma:root="true" ma:fieldsID="e629b5f32893dadffa2a28df5a40f430" ns2:_="" ns3:_="">
    <xsd:import namespace="2a7b5e2b-c2f9-474d-9192-0b310873e5b3"/>
    <xsd:import namespace="ee270db6-0975-4165-a89c-c52053db8f6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7b5e2b-c2f9-474d-9192-0b310873e5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463a0fa-cc7c-4ac4-8f60-273c1f79557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270db6-0975-4165-a89c-c52053db8f6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8e2ff69-0e00-4194-9d7a-485d374bca10}" ma:internalName="TaxCatchAll" ma:showField="CatchAllData" ma:web="ee270db6-0975-4165-a89c-c52053db8f6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7b5e2b-c2f9-474d-9192-0b310873e5b3">
      <Terms xmlns="http://schemas.microsoft.com/office/infopath/2007/PartnerControls"/>
    </lcf76f155ced4ddcb4097134ff3c332f>
    <TaxCatchAll xmlns="ee270db6-0975-4165-a89c-c52053db8f6c" xsi:nil="true"/>
  </documentManagement>
</p:properties>
</file>

<file path=customXml/itemProps1.xml><?xml version="1.0" encoding="utf-8"?>
<ds:datastoreItem xmlns:ds="http://schemas.openxmlformats.org/officeDocument/2006/customXml" ds:itemID="{F4C808C6-420C-45D1-93EE-13D521ECCFB4}"/>
</file>

<file path=customXml/itemProps2.xml><?xml version="1.0" encoding="utf-8"?>
<ds:datastoreItem xmlns:ds="http://schemas.openxmlformats.org/officeDocument/2006/customXml" ds:itemID="{2FC49A08-200A-49B6-80C6-64584035EF74}">
  <ds:schemaRefs>
    <ds:schemaRef ds:uri="http://schemas.microsoft.com/sharepoint/v3/contenttype/forms"/>
  </ds:schemaRefs>
</ds:datastoreItem>
</file>

<file path=customXml/itemProps3.xml><?xml version="1.0" encoding="utf-8"?>
<ds:datastoreItem xmlns:ds="http://schemas.openxmlformats.org/officeDocument/2006/customXml" ds:itemID="{DE355371-3F4F-4F83-9AC3-0E4781BA81AF}">
  <ds:schemaRefs>
    <ds:schemaRef ds:uri="http://schemas.microsoft.com/office/2006/metadata/properties"/>
    <ds:schemaRef ds:uri="http://schemas.microsoft.com/office/infopath/2007/PartnerControls"/>
    <ds:schemaRef ds:uri="2a7b5e2b-c2f9-474d-9192-0b310873e5b3"/>
    <ds:schemaRef ds:uri="ee270db6-0975-4165-a89c-c52053db8f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Spend Export</vt:lpstr>
      <vt:lpstr>Supplierdata with FI spend</vt:lpstr>
      <vt:lpstr>FI_dataPOCcleaned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Taija Jalova</cp:lastModifiedBy>
  <dcterms:modified xsi:type="dcterms:W3CDTF">2025-09-19T12:57:15Z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0x010100F3CABE09426AEA40BD0BCAC7A3C7E372</vt:lpwstr>
  </property>
  <property fmtid="{D5CDD505-2E9C-101B-9397-08002B2CF9AE}" pid="3" name="MediaServiceImageTags">
    <vt:lpwstr/>
  </property>
</Properties>
</file>